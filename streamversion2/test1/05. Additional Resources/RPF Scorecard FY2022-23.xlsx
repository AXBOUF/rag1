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s\HJ3244\Documents\Management Folders\Jordan Woods\RPF\"/>
    </mc:Choice>
  </mc:AlternateContent>
  <bookViews>
    <workbookView xWindow="0" yWindow="0" windowWidth="19200" windowHeight="11190"/>
  </bookViews>
  <sheets>
    <sheet name="Matrix" sheetId="4" r:id="rId1"/>
    <sheet name="Half 1" sheetId="16" r:id="rId2"/>
    <sheet name="Benchmarks" sheetId="18" state="hidden" r:id="rId3"/>
    <sheet name="Jul" sheetId="5" r:id="rId4"/>
    <sheet name="Aug" sheetId="19" r:id="rId5"/>
    <sheet name="Sep" sheetId="20" r:id="rId6"/>
    <sheet name="Oct" sheetId="22" r:id="rId7"/>
    <sheet name="Nov" sheetId="23" r:id="rId8"/>
    <sheet name="Dec" sheetId="21" r:id="rId9"/>
    <sheet name="Half 2" sheetId="30" r:id="rId10"/>
    <sheet name="Jan" sheetId="24" r:id="rId11"/>
    <sheet name="Feb" sheetId="25" r:id="rId12"/>
    <sheet name="Mar" sheetId="26" r:id="rId13"/>
    <sheet name="Apr" sheetId="27" r:id="rId14"/>
    <sheet name="May" sheetId="28" r:id="rId15"/>
    <sheet name="Jun" sheetId="29" r:id="rId16"/>
    <sheet name="Crew Staffing Bands" sheetId="2" state="hidden" r:id="rId17"/>
    <sheet name="AHR Benchmarks" sheetId="3" state="hidden" r:id="rId18"/>
  </sheets>
  <definedNames>
    <definedName name="_xlnm.Print_Area" localSheetId="13">Apr!$B$2:$P$86</definedName>
    <definedName name="_xlnm.Print_Area" localSheetId="4">Aug!$B$2:$P$86</definedName>
    <definedName name="_xlnm.Print_Area" localSheetId="8">Dec!$B$2:$P$86</definedName>
    <definedName name="_xlnm.Print_Area" localSheetId="11">Feb!$B$2:$P$86</definedName>
    <definedName name="_xlnm.Print_Area" localSheetId="1">'Half 1'!$B$2:$P$86</definedName>
    <definedName name="_xlnm.Print_Area" localSheetId="9">'Half 2'!$B$2:$P$86</definedName>
    <definedName name="_xlnm.Print_Area" localSheetId="10">Jan!$B$2:$P$86</definedName>
    <definedName name="_xlnm.Print_Area" localSheetId="3">Jul!$B$2:$P$86</definedName>
    <definedName name="_xlnm.Print_Area" localSheetId="15">Jun!$B$2:$P$86</definedName>
    <definedName name="_xlnm.Print_Area" localSheetId="12">Mar!$B$2:$P$86</definedName>
    <definedName name="_xlnm.Print_Area" localSheetId="0">Matrix!$B$2:$P$61</definedName>
    <definedName name="_xlnm.Print_Area" localSheetId="14">May!$B$2:$P$86</definedName>
    <definedName name="_xlnm.Print_Area" localSheetId="7">Nov!$B$2:$P$86</definedName>
    <definedName name="_xlnm.Print_Area" localSheetId="6">Oct!$B$2:$P$86</definedName>
    <definedName name="_xlnm.Print_Area" localSheetId="5">Sep!$B$2:$P$86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0" i="30" l="1"/>
  <c r="T75" i="30"/>
  <c r="T74" i="30"/>
  <c r="G74" i="30"/>
  <c r="D74" i="30"/>
  <c r="G66" i="30"/>
  <c r="D66" i="30"/>
  <c r="G58" i="30"/>
  <c r="D58" i="30"/>
  <c r="T54" i="30"/>
  <c r="T53" i="30"/>
  <c r="T52" i="30"/>
  <c r="T51" i="30"/>
  <c r="T50" i="30"/>
  <c r="G50" i="30"/>
  <c r="D50" i="30"/>
  <c r="M47" i="30"/>
  <c r="O47" i="30" s="1"/>
  <c r="J47" i="30"/>
  <c r="G47" i="30"/>
  <c r="D47" i="30"/>
  <c r="G39" i="30"/>
  <c r="D39" i="30"/>
  <c r="G31" i="30"/>
  <c r="D31" i="30"/>
  <c r="G28" i="30"/>
  <c r="D28" i="30"/>
  <c r="M20" i="30"/>
  <c r="G20" i="30"/>
  <c r="D20" i="30"/>
  <c r="G12" i="30"/>
  <c r="D12" i="30"/>
  <c r="J80" i="29"/>
  <c r="M77" i="29" s="1"/>
  <c r="O77" i="29" s="1"/>
  <c r="D77" i="29"/>
  <c r="J72" i="29"/>
  <c r="T71" i="29"/>
  <c r="S71" i="29"/>
  <c r="U71" i="29" s="1"/>
  <c r="V71" i="29" s="1"/>
  <c r="T70" i="29"/>
  <c r="S70" i="29"/>
  <c r="T69" i="29"/>
  <c r="S69" i="29"/>
  <c r="T68" i="29"/>
  <c r="U68" i="29" s="1"/>
  <c r="V68" i="29" s="1"/>
  <c r="S68" i="29"/>
  <c r="T67" i="29"/>
  <c r="U69" i="29" s="1"/>
  <c r="V69" i="29" s="1"/>
  <c r="S67" i="29"/>
  <c r="M67" i="29"/>
  <c r="O67" i="29" s="1"/>
  <c r="G67" i="29"/>
  <c r="D67" i="29"/>
  <c r="S63" i="29"/>
  <c r="S62" i="29"/>
  <c r="S61" i="29"/>
  <c r="S60" i="29"/>
  <c r="U59" i="29"/>
  <c r="T21" i="29" s="1"/>
  <c r="S59" i="29"/>
  <c r="S64" i="29" s="1"/>
  <c r="T64" i="29" s="1"/>
  <c r="G59" i="29"/>
  <c r="D59" i="29"/>
  <c r="U58" i="29"/>
  <c r="J56" i="29"/>
  <c r="M51" i="29" s="1"/>
  <c r="O51" i="29" s="1"/>
  <c r="T55" i="29"/>
  <c r="U55" i="29" s="1"/>
  <c r="S55" i="29"/>
  <c r="U54" i="29"/>
  <c r="T54" i="29"/>
  <c r="S54" i="29"/>
  <c r="T53" i="29"/>
  <c r="U53" i="29" s="1"/>
  <c r="S53" i="29"/>
  <c r="T52" i="29"/>
  <c r="U52" i="29" s="1"/>
  <c r="S52" i="29"/>
  <c r="U51" i="29"/>
  <c r="T51" i="29"/>
  <c r="S51" i="29"/>
  <c r="G51" i="29"/>
  <c r="D51" i="29"/>
  <c r="O47" i="29"/>
  <c r="M47" i="29"/>
  <c r="G47" i="29"/>
  <c r="D47" i="29"/>
  <c r="J45" i="29"/>
  <c r="K44" i="29"/>
  <c r="K43" i="29"/>
  <c r="K42" i="29"/>
  <c r="K41" i="29"/>
  <c r="O40" i="29"/>
  <c r="M40" i="29"/>
  <c r="K40" i="29"/>
  <c r="G40" i="29"/>
  <c r="D40" i="29"/>
  <c r="J37" i="29"/>
  <c r="M32" i="29" s="1"/>
  <c r="O32" i="29" s="1"/>
  <c r="G32" i="29"/>
  <c r="D32" i="29"/>
  <c r="G28" i="29"/>
  <c r="D28" i="29"/>
  <c r="J26" i="29" a="1"/>
  <c r="J26" i="29" s="1"/>
  <c r="M21" i="29"/>
  <c r="O21" i="29" s="1"/>
  <c r="G21" i="29"/>
  <c r="D21" i="29"/>
  <c r="J18" i="29" a="1"/>
  <c r="J18" i="29" s="1"/>
  <c r="M13" i="29" s="1"/>
  <c r="O13" i="29" s="1"/>
  <c r="G13" i="29"/>
  <c r="D13" i="29"/>
  <c r="J80" i="28"/>
  <c r="M77" i="28" s="1"/>
  <c r="O77" i="28" s="1"/>
  <c r="D77" i="28"/>
  <c r="J72" i="28"/>
  <c r="T71" i="28"/>
  <c r="S71" i="28"/>
  <c r="U71" i="28" s="1"/>
  <c r="V71" i="28" s="1"/>
  <c r="T70" i="28"/>
  <c r="S70" i="28"/>
  <c r="T69" i="28"/>
  <c r="S69" i="28"/>
  <c r="T68" i="28"/>
  <c r="U68" i="28" s="1"/>
  <c r="V68" i="28" s="1"/>
  <c r="S68" i="28"/>
  <c r="T67" i="28"/>
  <c r="U69" i="28" s="1"/>
  <c r="V69" i="28" s="1"/>
  <c r="S67" i="28"/>
  <c r="M67" i="28"/>
  <c r="O67" i="28" s="1"/>
  <c r="G67" i="28"/>
  <c r="D67" i="28"/>
  <c r="S63" i="28"/>
  <c r="S62" i="28"/>
  <c r="S61" i="28"/>
  <c r="S60" i="28"/>
  <c r="U59" i="28"/>
  <c r="U60" i="28" s="1"/>
  <c r="S59" i="28"/>
  <c r="S64" i="28" s="1"/>
  <c r="T64" i="28" s="1"/>
  <c r="G59" i="28"/>
  <c r="D59" i="28"/>
  <c r="U58" i="28"/>
  <c r="J56" i="28"/>
  <c r="M51" i="28" s="1"/>
  <c r="O51" i="28" s="1"/>
  <c r="T55" i="28"/>
  <c r="U55" i="28" s="1"/>
  <c r="S55" i="28"/>
  <c r="U54" i="28"/>
  <c r="T54" i="28"/>
  <c r="S54" i="28"/>
  <c r="T53" i="28"/>
  <c r="U53" i="28" s="1"/>
  <c r="S53" i="28"/>
  <c r="T52" i="28"/>
  <c r="U52" i="28" s="1"/>
  <c r="S52" i="28"/>
  <c r="U51" i="28"/>
  <c r="T51" i="28"/>
  <c r="S51" i="28"/>
  <c r="G51" i="28"/>
  <c r="D51" i="28"/>
  <c r="O47" i="28"/>
  <c r="M47" i="28"/>
  <c r="G47" i="28"/>
  <c r="D47" i="28"/>
  <c r="J45" i="28"/>
  <c r="K44" i="28"/>
  <c r="K43" i="28"/>
  <c r="K42" i="28"/>
  <c r="K41" i="28"/>
  <c r="O40" i="28"/>
  <c r="M40" i="28"/>
  <c r="K40" i="28"/>
  <c r="G40" i="28"/>
  <c r="D40" i="28"/>
  <c r="J37" i="28"/>
  <c r="M32" i="28" s="1"/>
  <c r="O32" i="28" s="1"/>
  <c r="G32" i="28"/>
  <c r="D32" i="28"/>
  <c r="G28" i="28"/>
  <c r="D28" i="28"/>
  <c r="J26" i="28"/>
  <c r="J26" i="28" a="1"/>
  <c r="T21" i="28"/>
  <c r="T24" i="28" s="1"/>
  <c r="O21" i="28"/>
  <c r="M21" i="28"/>
  <c r="G21" i="28"/>
  <c r="D21" i="28"/>
  <c r="J18" i="28"/>
  <c r="J18" i="28" a="1"/>
  <c r="M13" i="28"/>
  <c r="O13" i="28" s="1"/>
  <c r="G13" i="28"/>
  <c r="D13" i="28"/>
  <c r="J80" i="27"/>
  <c r="M77" i="27"/>
  <c r="O77" i="27" s="1"/>
  <c r="D77" i="27"/>
  <c r="J72" i="27"/>
  <c r="T71" i="27"/>
  <c r="S71" i="27"/>
  <c r="U71" i="27" s="1"/>
  <c r="V71" i="27" s="1"/>
  <c r="T70" i="27"/>
  <c r="S70" i="27"/>
  <c r="U70" i="27" s="1"/>
  <c r="V70" i="27" s="1"/>
  <c r="T69" i="27"/>
  <c r="S69" i="27"/>
  <c r="U68" i="27"/>
  <c r="V68" i="27" s="1"/>
  <c r="T68" i="27"/>
  <c r="S68" i="27"/>
  <c r="T67" i="27"/>
  <c r="U69" i="27" s="1"/>
  <c r="V69" i="27" s="1"/>
  <c r="S67" i="27"/>
  <c r="M67" i="27"/>
  <c r="O67" i="27" s="1"/>
  <c r="G67" i="27"/>
  <c r="D67" i="27"/>
  <c r="S63" i="27"/>
  <c r="S62" i="27"/>
  <c r="S61" i="27"/>
  <c r="S60" i="27"/>
  <c r="U59" i="27"/>
  <c r="U60" i="27" s="1"/>
  <c r="S59" i="27"/>
  <c r="S64" i="27" s="1"/>
  <c r="T64" i="27" s="1"/>
  <c r="G59" i="27"/>
  <c r="D59" i="27"/>
  <c r="U58" i="27"/>
  <c r="J56" i="27"/>
  <c r="T55" i="27"/>
  <c r="U55" i="27" s="1"/>
  <c r="S55" i="27"/>
  <c r="U54" i="27"/>
  <c r="T54" i="27"/>
  <c r="S54" i="27"/>
  <c r="T53" i="27"/>
  <c r="U53" i="27" s="1"/>
  <c r="S53" i="27"/>
  <c r="T52" i="27"/>
  <c r="S52" i="27"/>
  <c r="U52" i="27" s="1"/>
  <c r="U51" i="27"/>
  <c r="T51" i="27"/>
  <c r="S51" i="27"/>
  <c r="M51" i="27"/>
  <c r="O51" i="27" s="1"/>
  <c r="G51" i="27"/>
  <c r="D51" i="27"/>
  <c r="M47" i="27"/>
  <c r="O47" i="27" s="1"/>
  <c r="G47" i="27"/>
  <c r="D47" i="27"/>
  <c r="J45" i="27"/>
  <c r="K44" i="27"/>
  <c r="K43" i="27"/>
  <c r="K42" i="27"/>
  <c r="K41" i="27"/>
  <c r="O40" i="27"/>
  <c r="M40" i="27"/>
  <c r="K40" i="27"/>
  <c r="G40" i="27"/>
  <c r="D40" i="27"/>
  <c r="J37" i="27"/>
  <c r="M32" i="27" s="1"/>
  <c r="O32" i="27" s="1"/>
  <c r="G32" i="27"/>
  <c r="D32" i="27"/>
  <c r="G28" i="27"/>
  <c r="D28" i="27"/>
  <c r="T26" i="27"/>
  <c r="J21" i="27" s="1"/>
  <c r="J26" i="27"/>
  <c r="J26" i="27" a="1"/>
  <c r="T21" i="27"/>
  <c r="T22" i="27" s="1"/>
  <c r="M21" i="27"/>
  <c r="O21" i="27" s="1"/>
  <c r="G21" i="27"/>
  <c r="D21" i="27"/>
  <c r="J18" i="27" a="1"/>
  <c r="J18" i="27" s="1"/>
  <c r="M13" i="27" s="1"/>
  <c r="O13" i="27" s="1"/>
  <c r="G13" i="27"/>
  <c r="D13" i="27"/>
  <c r="J80" i="26"/>
  <c r="M77" i="26"/>
  <c r="O77" i="26" s="1"/>
  <c r="D77" i="26"/>
  <c r="J72" i="26"/>
  <c r="M67" i="26" s="1"/>
  <c r="O67" i="26" s="1"/>
  <c r="T71" i="26"/>
  <c r="S71" i="26"/>
  <c r="U71" i="26" s="1"/>
  <c r="V71" i="26" s="1"/>
  <c r="T70" i="26"/>
  <c r="S70" i="26"/>
  <c r="T69" i="26"/>
  <c r="S69" i="26"/>
  <c r="T68" i="26"/>
  <c r="U69" i="26" s="1"/>
  <c r="V69" i="26" s="1"/>
  <c r="S68" i="26"/>
  <c r="U68" i="26" s="1"/>
  <c r="V68" i="26" s="1"/>
  <c r="T67" i="26"/>
  <c r="U67" i="26" s="1"/>
  <c r="S67" i="26"/>
  <c r="G67" i="26"/>
  <c r="D67" i="26"/>
  <c r="S63" i="26"/>
  <c r="S62" i="26"/>
  <c r="S61" i="26"/>
  <c r="S64" i="26" s="1"/>
  <c r="T64" i="26" s="1"/>
  <c r="S60" i="26"/>
  <c r="U59" i="26"/>
  <c r="U60" i="26" s="1"/>
  <c r="S59" i="26"/>
  <c r="G59" i="26"/>
  <c r="D59" i="26"/>
  <c r="U58" i="26"/>
  <c r="J56" i="26"/>
  <c r="T55" i="26"/>
  <c r="S55" i="26"/>
  <c r="U55" i="26" s="1"/>
  <c r="T54" i="26"/>
  <c r="U53" i="26"/>
  <c r="T53" i="26"/>
  <c r="S53" i="26"/>
  <c r="U52" i="26"/>
  <c r="T52" i="26"/>
  <c r="S52" i="26"/>
  <c r="T51" i="26"/>
  <c r="U51" i="26" s="1"/>
  <c r="S51" i="26"/>
  <c r="S54" i="26" s="1"/>
  <c r="U54" i="26" s="1"/>
  <c r="M51" i="26"/>
  <c r="O51" i="26" s="1"/>
  <c r="G51" i="26"/>
  <c r="D51" i="26"/>
  <c r="O47" i="26"/>
  <c r="M47" i="26"/>
  <c r="G47" i="26"/>
  <c r="D47" i="26"/>
  <c r="J45" i="26"/>
  <c r="K44" i="26"/>
  <c r="K43" i="26"/>
  <c r="K42" i="26"/>
  <c r="K41" i="26"/>
  <c r="M40" i="26"/>
  <c r="O40" i="26" s="1"/>
  <c r="K40" i="26"/>
  <c r="G40" i="26"/>
  <c r="D40" i="26"/>
  <c r="J37" i="26"/>
  <c r="M32" i="26"/>
  <c r="O32" i="26" s="1"/>
  <c r="G32" i="26"/>
  <c r="D32" i="26"/>
  <c r="G28" i="26"/>
  <c r="D28" i="26"/>
  <c r="J26" i="26" a="1"/>
  <c r="J26" i="26" s="1"/>
  <c r="T21" i="26"/>
  <c r="T24" i="26" s="1"/>
  <c r="M21" i="26"/>
  <c r="O21" i="26" s="1"/>
  <c r="G21" i="26"/>
  <c r="D21" i="26"/>
  <c r="J18" i="26" a="1"/>
  <c r="J18" i="26" s="1"/>
  <c r="M13" i="26" s="1"/>
  <c r="O13" i="26" s="1"/>
  <c r="G13" i="26"/>
  <c r="D13" i="26"/>
  <c r="J80" i="25"/>
  <c r="M77" i="25" s="1"/>
  <c r="O77" i="25" s="1"/>
  <c r="D77" i="25"/>
  <c r="J72" i="25"/>
  <c r="T71" i="25"/>
  <c r="S71" i="25"/>
  <c r="U71" i="25" s="1"/>
  <c r="V71" i="25" s="1"/>
  <c r="T70" i="25"/>
  <c r="U70" i="25" s="1"/>
  <c r="V70" i="25" s="1"/>
  <c r="S70" i="25"/>
  <c r="T69" i="25"/>
  <c r="S69" i="25"/>
  <c r="T68" i="25"/>
  <c r="U68" i="25" s="1"/>
  <c r="V68" i="25" s="1"/>
  <c r="S68" i="25"/>
  <c r="T67" i="25"/>
  <c r="U69" i="25" s="1"/>
  <c r="V69" i="25" s="1"/>
  <c r="S67" i="25"/>
  <c r="M67" i="25"/>
  <c r="O67" i="25" s="1"/>
  <c r="G67" i="25"/>
  <c r="D67" i="25"/>
  <c r="S63" i="25"/>
  <c r="S62" i="25"/>
  <c r="S61" i="25"/>
  <c r="S60" i="25"/>
  <c r="U59" i="25"/>
  <c r="U60" i="25" s="1"/>
  <c r="S59" i="25"/>
  <c r="S64" i="25" s="1"/>
  <c r="T64" i="25" s="1"/>
  <c r="G59" i="25"/>
  <c r="D59" i="25"/>
  <c r="U58" i="25"/>
  <c r="J56" i="25"/>
  <c r="M51" i="25" s="1"/>
  <c r="O51" i="25" s="1"/>
  <c r="T55" i="25"/>
  <c r="U55" i="25" s="1"/>
  <c r="S55" i="25"/>
  <c r="U54" i="25"/>
  <c r="T54" i="25"/>
  <c r="S54" i="25"/>
  <c r="T53" i="25"/>
  <c r="U53" i="25" s="1"/>
  <c r="S53" i="25"/>
  <c r="T52" i="25"/>
  <c r="U52" i="25" s="1"/>
  <c r="S52" i="25"/>
  <c r="U51" i="25"/>
  <c r="T51" i="25"/>
  <c r="S51" i="25"/>
  <c r="G51" i="25"/>
  <c r="D51" i="25"/>
  <c r="O47" i="25"/>
  <c r="M47" i="25"/>
  <c r="G47" i="25"/>
  <c r="D47" i="25"/>
  <c r="J45" i="25"/>
  <c r="K44" i="25"/>
  <c r="K43" i="25"/>
  <c r="K42" i="25"/>
  <c r="K41" i="25"/>
  <c r="O40" i="25"/>
  <c r="M40" i="25"/>
  <c r="K40" i="25"/>
  <c r="G40" i="25"/>
  <c r="D40" i="25"/>
  <c r="J37" i="25"/>
  <c r="M32" i="25" s="1"/>
  <c r="O32" i="25" s="1"/>
  <c r="G32" i="25"/>
  <c r="D32" i="25"/>
  <c r="G28" i="25"/>
  <c r="D28" i="25"/>
  <c r="T26" i="25"/>
  <c r="J21" i="25" s="1"/>
  <c r="J26" i="25"/>
  <c r="J26" i="25" a="1"/>
  <c r="T21" i="25"/>
  <c r="T24" i="25" s="1"/>
  <c r="O21" i="25"/>
  <c r="M21" i="25"/>
  <c r="G21" i="25"/>
  <c r="D21" i="25"/>
  <c r="J18" i="25" a="1"/>
  <c r="J18" i="25" s="1"/>
  <c r="M13" i="25" s="1"/>
  <c r="O13" i="25" s="1"/>
  <c r="G13" i="25"/>
  <c r="D13" i="25"/>
  <c r="J80" i="24"/>
  <c r="M77" i="24" s="1"/>
  <c r="O77" i="24" s="1"/>
  <c r="D77" i="24"/>
  <c r="J72" i="24"/>
  <c r="T71" i="24"/>
  <c r="S71" i="24"/>
  <c r="U71" i="24" s="1"/>
  <c r="V71" i="24" s="1"/>
  <c r="T70" i="24"/>
  <c r="U70" i="24" s="1"/>
  <c r="V70" i="24" s="1"/>
  <c r="S70" i="24"/>
  <c r="T69" i="24"/>
  <c r="S69" i="24"/>
  <c r="T68" i="24"/>
  <c r="U68" i="24" s="1"/>
  <c r="V68" i="24" s="1"/>
  <c r="S68" i="24"/>
  <c r="T67" i="24"/>
  <c r="U69" i="24" s="1"/>
  <c r="V69" i="24" s="1"/>
  <c r="S67" i="24"/>
  <c r="M67" i="24"/>
  <c r="O67" i="24" s="1"/>
  <c r="G67" i="24"/>
  <c r="D67" i="24"/>
  <c r="S63" i="24"/>
  <c r="S62" i="24"/>
  <c r="S61" i="24"/>
  <c r="S60" i="24"/>
  <c r="U59" i="24"/>
  <c r="U60" i="24" s="1"/>
  <c r="S59" i="24"/>
  <c r="S64" i="24" s="1"/>
  <c r="T64" i="24" s="1"/>
  <c r="G59" i="24"/>
  <c r="D59" i="24"/>
  <c r="U58" i="24"/>
  <c r="J56" i="24"/>
  <c r="M51" i="24" s="1"/>
  <c r="O51" i="24" s="1"/>
  <c r="T55" i="24"/>
  <c r="U55" i="24" s="1"/>
  <c r="S55" i="24"/>
  <c r="U54" i="24"/>
  <c r="T54" i="24"/>
  <c r="S54" i="24"/>
  <c r="T53" i="24"/>
  <c r="U53" i="24" s="1"/>
  <c r="S53" i="24"/>
  <c r="T52" i="24"/>
  <c r="U52" i="24" s="1"/>
  <c r="S52" i="24"/>
  <c r="U51" i="24"/>
  <c r="T51" i="24"/>
  <c r="S51" i="24"/>
  <c r="G51" i="24"/>
  <c r="D51" i="24"/>
  <c r="O47" i="24"/>
  <c r="M47" i="24"/>
  <c r="G47" i="24"/>
  <c r="D47" i="24"/>
  <c r="J45" i="24"/>
  <c r="K44" i="24"/>
  <c r="K43" i="24"/>
  <c r="K42" i="24"/>
  <c r="K41" i="24"/>
  <c r="O40" i="24"/>
  <c r="M40" i="24"/>
  <c r="K40" i="24"/>
  <c r="G40" i="24"/>
  <c r="D40" i="24"/>
  <c r="J37" i="24"/>
  <c r="M32" i="24" s="1"/>
  <c r="O32" i="24" s="1"/>
  <c r="G32" i="24"/>
  <c r="D32" i="24"/>
  <c r="G28" i="24"/>
  <c r="D28" i="24"/>
  <c r="T26" i="24"/>
  <c r="J21" i="24" s="1"/>
  <c r="J26" i="24"/>
  <c r="J26" i="24" a="1"/>
  <c r="T21" i="24"/>
  <c r="T24" i="24" s="1"/>
  <c r="O21" i="24"/>
  <c r="M21" i="24"/>
  <c r="G21" i="24"/>
  <c r="D21" i="24"/>
  <c r="J18" i="24" a="1"/>
  <c r="J18" i="24" s="1"/>
  <c r="M13" i="24" s="1"/>
  <c r="O13" i="24" s="1"/>
  <c r="G13" i="24"/>
  <c r="D13" i="24"/>
  <c r="M47" i="16"/>
  <c r="J47" i="16"/>
  <c r="J28" i="16"/>
  <c r="J79" i="16"/>
  <c r="J71" i="16"/>
  <c r="J63" i="16"/>
  <c r="J55" i="16"/>
  <c r="J44" i="16"/>
  <c r="J36" i="16"/>
  <c r="J25" i="16"/>
  <c r="J17" i="16"/>
  <c r="J78" i="16"/>
  <c r="J70" i="16"/>
  <c r="J62" i="16"/>
  <c r="J54" i="16"/>
  <c r="J43" i="16"/>
  <c r="J35" i="16"/>
  <c r="J24" i="16"/>
  <c r="J16" i="16"/>
  <c r="J77" i="16"/>
  <c r="J69" i="16"/>
  <c r="J61" i="16"/>
  <c r="J53" i="16"/>
  <c r="J42" i="16"/>
  <c r="J34" i="16"/>
  <c r="J23" i="16"/>
  <c r="J15" i="16"/>
  <c r="J76" i="16"/>
  <c r="J68" i="16"/>
  <c r="J60" i="16"/>
  <c r="J52" i="16"/>
  <c r="J41" i="16"/>
  <c r="J33" i="16"/>
  <c r="J22" i="16"/>
  <c r="J14" i="16"/>
  <c r="J75" i="16"/>
  <c r="J67" i="16"/>
  <c r="J59" i="16"/>
  <c r="J51" i="16"/>
  <c r="J40" i="16"/>
  <c r="J32" i="16"/>
  <c r="J21" i="16"/>
  <c r="J13" i="16"/>
  <c r="J80" i="23"/>
  <c r="M77" i="23"/>
  <c r="O77" i="23" s="1"/>
  <c r="D77" i="23"/>
  <c r="J72" i="23"/>
  <c r="T71" i="23"/>
  <c r="S71" i="23"/>
  <c r="T70" i="23"/>
  <c r="S70" i="23"/>
  <c r="U70" i="23" s="1"/>
  <c r="V70" i="23" s="1"/>
  <c r="T69" i="23"/>
  <c r="S69" i="23"/>
  <c r="T68" i="23"/>
  <c r="S68" i="23"/>
  <c r="U68" i="23" s="1"/>
  <c r="V68" i="23" s="1"/>
  <c r="T67" i="23"/>
  <c r="U69" i="23" s="1"/>
  <c r="V69" i="23" s="1"/>
  <c r="S67" i="23"/>
  <c r="M67" i="23"/>
  <c r="O67" i="23" s="1"/>
  <c r="G67" i="23"/>
  <c r="D67" i="23"/>
  <c r="S63" i="23"/>
  <c r="S62" i="23"/>
  <c r="S61" i="23"/>
  <c r="S60" i="23"/>
  <c r="S59" i="23"/>
  <c r="S64" i="23" s="1"/>
  <c r="G59" i="23"/>
  <c r="D59" i="23"/>
  <c r="U58" i="23"/>
  <c r="U59" i="23" s="1"/>
  <c r="T21" i="23" s="1"/>
  <c r="J56" i="23"/>
  <c r="M51" i="23" s="1"/>
  <c r="O51" i="23" s="1"/>
  <c r="T55" i="23"/>
  <c r="U55" i="23" s="1"/>
  <c r="S55" i="23"/>
  <c r="U54" i="23"/>
  <c r="T54" i="23"/>
  <c r="S54" i="23"/>
  <c r="T53" i="23"/>
  <c r="U53" i="23" s="1"/>
  <c r="S53" i="23"/>
  <c r="T52" i="23"/>
  <c r="U52" i="23" s="1"/>
  <c r="S52" i="23"/>
  <c r="U51" i="23"/>
  <c r="T51" i="23"/>
  <c r="S51" i="23"/>
  <c r="G51" i="23"/>
  <c r="D51" i="23"/>
  <c r="O47" i="23"/>
  <c r="M47" i="23"/>
  <c r="G47" i="23"/>
  <c r="D47" i="23"/>
  <c r="J45" i="23"/>
  <c r="K44" i="23"/>
  <c r="K43" i="23"/>
  <c r="K42" i="23"/>
  <c r="K41" i="23"/>
  <c r="O40" i="23"/>
  <c r="M40" i="23"/>
  <c r="K40" i="23"/>
  <c r="G40" i="23"/>
  <c r="D40" i="23"/>
  <c r="J37" i="23"/>
  <c r="M32" i="23" s="1"/>
  <c r="O32" i="23" s="1"/>
  <c r="G32" i="23"/>
  <c r="D32" i="23"/>
  <c r="J28" i="23"/>
  <c r="M28" i="23" s="1"/>
  <c r="O28" i="23" s="1"/>
  <c r="G28" i="23"/>
  <c r="D28" i="23"/>
  <c r="J26" i="23"/>
  <c r="J26" i="23" a="1"/>
  <c r="M21" i="23"/>
  <c r="O21" i="23" s="1"/>
  <c r="G21" i="23"/>
  <c r="D21" i="23"/>
  <c r="J18" i="23" a="1"/>
  <c r="J18" i="23" s="1"/>
  <c r="M13" i="23" s="1"/>
  <c r="O13" i="23" s="1"/>
  <c r="G13" i="23"/>
  <c r="D13" i="23"/>
  <c r="J80" i="22"/>
  <c r="M77" i="22" s="1"/>
  <c r="O77" i="22" s="1"/>
  <c r="D77" i="22"/>
  <c r="J72" i="22"/>
  <c r="M67" i="22" s="1"/>
  <c r="O67" i="22" s="1"/>
  <c r="T71" i="22"/>
  <c r="S71" i="22"/>
  <c r="U71" i="22" s="1"/>
  <c r="V71" i="22" s="1"/>
  <c r="T70" i="22"/>
  <c r="S70" i="22"/>
  <c r="U70" i="22" s="1"/>
  <c r="V70" i="22" s="1"/>
  <c r="T69" i="22"/>
  <c r="S69" i="22"/>
  <c r="U68" i="22"/>
  <c r="V68" i="22" s="1"/>
  <c r="T68" i="22"/>
  <c r="S68" i="22"/>
  <c r="T67" i="22"/>
  <c r="U69" i="22" s="1"/>
  <c r="V69" i="22" s="1"/>
  <c r="S67" i="22"/>
  <c r="G67" i="22"/>
  <c r="D67" i="22"/>
  <c r="S63" i="22"/>
  <c r="S62" i="22"/>
  <c r="S61" i="22"/>
  <c r="S60" i="22"/>
  <c r="U59" i="22"/>
  <c r="U60" i="22" s="1"/>
  <c r="S59" i="22"/>
  <c r="S64" i="22" s="1"/>
  <c r="T64" i="22" s="1"/>
  <c r="G59" i="22"/>
  <c r="D59" i="22"/>
  <c r="U58" i="22"/>
  <c r="J56" i="22"/>
  <c r="M51" i="22" s="1"/>
  <c r="O51" i="22" s="1"/>
  <c r="T55" i="22"/>
  <c r="U55" i="22" s="1"/>
  <c r="S55" i="22"/>
  <c r="U54" i="22"/>
  <c r="T54" i="22"/>
  <c r="S54" i="22"/>
  <c r="T53" i="22"/>
  <c r="U53" i="22" s="1"/>
  <c r="S53" i="22"/>
  <c r="T52" i="22"/>
  <c r="U52" i="22" s="1"/>
  <c r="S52" i="22"/>
  <c r="U51" i="22"/>
  <c r="T51" i="22"/>
  <c r="S51" i="22"/>
  <c r="G51" i="22"/>
  <c r="D51" i="22"/>
  <c r="M47" i="22"/>
  <c r="O47" i="22" s="1"/>
  <c r="G47" i="22"/>
  <c r="D47" i="22"/>
  <c r="J45" i="22"/>
  <c r="K44" i="22"/>
  <c r="K43" i="22"/>
  <c r="K42" i="22"/>
  <c r="K41" i="22"/>
  <c r="M40" i="22"/>
  <c r="O40" i="22" s="1"/>
  <c r="K40" i="22"/>
  <c r="G40" i="22"/>
  <c r="D40" i="22"/>
  <c r="J37" i="22"/>
  <c r="M32" i="22" s="1"/>
  <c r="O32" i="22" s="1"/>
  <c r="G32" i="22"/>
  <c r="D32" i="22"/>
  <c r="J28" i="22"/>
  <c r="M28" i="22" s="1"/>
  <c r="O28" i="22" s="1"/>
  <c r="G28" i="22"/>
  <c r="D28" i="22"/>
  <c r="J26" i="22"/>
  <c r="J26" i="22" a="1"/>
  <c r="M21" i="22"/>
  <c r="O21" i="22" s="1"/>
  <c r="G21" i="22"/>
  <c r="D21" i="22"/>
  <c r="J18" i="22" a="1"/>
  <c r="J18" i="22" s="1"/>
  <c r="M13" i="22" s="1"/>
  <c r="O13" i="22" s="1"/>
  <c r="G13" i="22"/>
  <c r="D13" i="22"/>
  <c r="J28" i="20"/>
  <c r="M28" i="20" s="1"/>
  <c r="O28" i="20" s="1"/>
  <c r="J28" i="19"/>
  <c r="M28" i="19" s="1"/>
  <c r="O28" i="19" s="1"/>
  <c r="J28" i="5"/>
  <c r="J80" i="21"/>
  <c r="M77" i="21" s="1"/>
  <c r="O77" i="21" s="1"/>
  <c r="D77" i="21"/>
  <c r="J72" i="21"/>
  <c r="T71" i="21"/>
  <c r="S71" i="21"/>
  <c r="U71" i="21" s="1"/>
  <c r="V71" i="21" s="1"/>
  <c r="T70" i="21"/>
  <c r="S70" i="21"/>
  <c r="U70" i="21" s="1"/>
  <c r="V70" i="21" s="1"/>
  <c r="T69" i="21"/>
  <c r="S69" i="21"/>
  <c r="T68" i="21"/>
  <c r="S68" i="21"/>
  <c r="T67" i="21"/>
  <c r="U69" i="21" s="1"/>
  <c r="V69" i="21" s="1"/>
  <c r="S67" i="21"/>
  <c r="M67" i="21"/>
  <c r="O67" i="21" s="1"/>
  <c r="G67" i="21"/>
  <c r="D67" i="21"/>
  <c r="S63" i="21"/>
  <c r="S62" i="21"/>
  <c r="S61" i="21"/>
  <c r="S60" i="21"/>
  <c r="U59" i="21"/>
  <c r="U60" i="21" s="1"/>
  <c r="S59" i="21"/>
  <c r="S64" i="21" s="1"/>
  <c r="T64" i="21" s="1"/>
  <c r="G59" i="21"/>
  <c r="D59" i="21"/>
  <c r="U58" i="21"/>
  <c r="J56" i="21"/>
  <c r="M51" i="21" s="1"/>
  <c r="O51" i="21" s="1"/>
  <c r="T55" i="21"/>
  <c r="U55" i="21" s="1"/>
  <c r="S55" i="21"/>
  <c r="U54" i="21"/>
  <c r="T54" i="21"/>
  <c r="S54" i="21"/>
  <c r="T53" i="21"/>
  <c r="U53" i="21" s="1"/>
  <c r="S53" i="21"/>
  <c r="T52" i="21"/>
  <c r="U52" i="21" s="1"/>
  <c r="S52" i="21"/>
  <c r="U51" i="21"/>
  <c r="T51" i="21"/>
  <c r="S51" i="21"/>
  <c r="G51" i="21"/>
  <c r="D51" i="21"/>
  <c r="O47" i="21"/>
  <c r="M47" i="21"/>
  <c r="G47" i="21"/>
  <c r="D47" i="21"/>
  <c r="J45" i="21"/>
  <c r="K44" i="21"/>
  <c r="K43" i="21"/>
  <c r="K42" i="21"/>
  <c r="K41" i="21"/>
  <c r="O40" i="21"/>
  <c r="M40" i="21"/>
  <c r="K40" i="21"/>
  <c r="G40" i="21"/>
  <c r="D40" i="21"/>
  <c r="J37" i="21"/>
  <c r="M32" i="21" s="1"/>
  <c r="O32" i="21" s="1"/>
  <c r="G32" i="21"/>
  <c r="D32" i="21"/>
  <c r="M28" i="21"/>
  <c r="O28" i="21" s="1"/>
  <c r="G28" i="21"/>
  <c r="D28" i="21"/>
  <c r="T26" i="21"/>
  <c r="J21" i="21" s="1"/>
  <c r="J26" i="21"/>
  <c r="J26" i="21" a="1"/>
  <c r="T21" i="21"/>
  <c r="T24" i="21" s="1"/>
  <c r="O21" i="21"/>
  <c r="M21" i="21"/>
  <c r="G21" i="21"/>
  <c r="D21" i="21"/>
  <c r="J18" i="21" a="1"/>
  <c r="J18" i="21" s="1"/>
  <c r="M13" i="21" s="1"/>
  <c r="O13" i="21" s="1"/>
  <c r="G13" i="21"/>
  <c r="D13" i="21"/>
  <c r="J80" i="20"/>
  <c r="M77" i="20" s="1"/>
  <c r="O77" i="20" s="1"/>
  <c r="D77" i="20"/>
  <c r="J72" i="20"/>
  <c r="T71" i="20"/>
  <c r="S71" i="20"/>
  <c r="U71" i="20" s="1"/>
  <c r="V71" i="20" s="1"/>
  <c r="T70" i="20"/>
  <c r="S70" i="20"/>
  <c r="T69" i="20"/>
  <c r="U70" i="20" s="1"/>
  <c r="V70" i="20" s="1"/>
  <c r="S69" i="20"/>
  <c r="U68" i="20"/>
  <c r="V68" i="20" s="1"/>
  <c r="T68" i="20"/>
  <c r="S68" i="20"/>
  <c r="T67" i="20"/>
  <c r="S67" i="20"/>
  <c r="U67" i="20" s="1"/>
  <c r="M67" i="20"/>
  <c r="O67" i="20" s="1"/>
  <c r="G67" i="20"/>
  <c r="D67" i="20"/>
  <c r="S64" i="20"/>
  <c r="T64" i="20" s="1"/>
  <c r="S63" i="20"/>
  <c r="S62" i="20"/>
  <c r="S61" i="20"/>
  <c r="S60" i="20"/>
  <c r="S59" i="20"/>
  <c r="G59" i="20"/>
  <c r="D59" i="20"/>
  <c r="U58" i="20"/>
  <c r="U59" i="20" s="1"/>
  <c r="J56" i="20"/>
  <c r="M51" i="20" s="1"/>
  <c r="O51" i="20" s="1"/>
  <c r="T55" i="20"/>
  <c r="T54" i="20"/>
  <c r="T53" i="20"/>
  <c r="U53" i="20" s="1"/>
  <c r="T52" i="20"/>
  <c r="T51" i="20"/>
  <c r="U51" i="20" s="1"/>
  <c r="S51" i="20"/>
  <c r="S53" i="20" s="1"/>
  <c r="G51" i="20"/>
  <c r="D51" i="20"/>
  <c r="O47" i="20"/>
  <c r="M47" i="20"/>
  <c r="G47" i="20"/>
  <c r="D47" i="20"/>
  <c r="J45" i="20"/>
  <c r="K44" i="20"/>
  <c r="K43" i="20"/>
  <c r="K42" i="20"/>
  <c r="K41" i="20"/>
  <c r="M40" i="20"/>
  <c r="O40" i="20" s="1"/>
  <c r="K40" i="20"/>
  <c r="G40" i="20"/>
  <c r="D40" i="20"/>
  <c r="J37" i="20"/>
  <c r="M32" i="20" s="1"/>
  <c r="O32" i="20" s="1"/>
  <c r="G32" i="20"/>
  <c r="D32" i="20"/>
  <c r="G28" i="20"/>
  <c r="D28" i="20"/>
  <c r="J26" i="20" a="1"/>
  <c r="J26" i="20" s="1"/>
  <c r="M21" i="20"/>
  <c r="O21" i="20" s="1"/>
  <c r="G21" i="20"/>
  <c r="D21" i="20"/>
  <c r="J18" i="20" a="1"/>
  <c r="J18" i="20" s="1"/>
  <c r="M13" i="20" s="1"/>
  <c r="O13" i="20" s="1"/>
  <c r="G13" i="20"/>
  <c r="D13" i="20"/>
  <c r="J80" i="19"/>
  <c r="M77" i="19"/>
  <c r="O77" i="19" s="1"/>
  <c r="D77" i="19"/>
  <c r="J72" i="19"/>
  <c r="M67" i="19" s="1"/>
  <c r="O67" i="19" s="1"/>
  <c r="T71" i="19"/>
  <c r="S71" i="19"/>
  <c r="U71" i="19" s="1"/>
  <c r="V71" i="19" s="1"/>
  <c r="T70" i="19"/>
  <c r="S70" i="19"/>
  <c r="U70" i="19" s="1"/>
  <c r="V70" i="19" s="1"/>
  <c r="T69" i="19"/>
  <c r="S69" i="19"/>
  <c r="T68" i="19"/>
  <c r="U68" i="19" s="1"/>
  <c r="V68" i="19" s="1"/>
  <c r="S68" i="19"/>
  <c r="T67" i="19"/>
  <c r="U69" i="19" s="1"/>
  <c r="V69" i="19" s="1"/>
  <c r="S67" i="19"/>
  <c r="G67" i="19"/>
  <c r="D67" i="19"/>
  <c r="S63" i="19"/>
  <c r="S62" i="19"/>
  <c r="S61" i="19"/>
  <c r="S60" i="19"/>
  <c r="S59" i="19"/>
  <c r="S64" i="19" s="1"/>
  <c r="G59" i="19"/>
  <c r="D59" i="19"/>
  <c r="U58" i="19"/>
  <c r="U59" i="19" s="1"/>
  <c r="J56" i="19"/>
  <c r="M51" i="19" s="1"/>
  <c r="O51" i="19" s="1"/>
  <c r="T55" i="19"/>
  <c r="U55" i="19" s="1"/>
  <c r="S55" i="19"/>
  <c r="U54" i="19"/>
  <c r="T54" i="19"/>
  <c r="S54" i="19"/>
  <c r="T53" i="19"/>
  <c r="U53" i="19" s="1"/>
  <c r="S53" i="19"/>
  <c r="T52" i="19"/>
  <c r="U52" i="19" s="1"/>
  <c r="S52" i="19"/>
  <c r="U51" i="19"/>
  <c r="T51" i="19"/>
  <c r="S51" i="19"/>
  <c r="G51" i="19"/>
  <c r="D51" i="19"/>
  <c r="O47" i="19"/>
  <c r="M47" i="19"/>
  <c r="G47" i="19"/>
  <c r="D47" i="19"/>
  <c r="J45" i="19"/>
  <c r="K44" i="19"/>
  <c r="K43" i="19"/>
  <c r="K42" i="19"/>
  <c r="K41" i="19"/>
  <c r="O40" i="19"/>
  <c r="M40" i="19"/>
  <c r="K40" i="19"/>
  <c r="G40" i="19"/>
  <c r="D40" i="19"/>
  <c r="J37" i="19"/>
  <c r="M32" i="19" s="1"/>
  <c r="O32" i="19" s="1"/>
  <c r="G32" i="19"/>
  <c r="D32" i="19"/>
  <c r="G28" i="19"/>
  <c r="D28" i="19"/>
  <c r="J26" i="19" a="1"/>
  <c r="J26" i="19" s="1"/>
  <c r="M21" i="19"/>
  <c r="O21" i="19" s="1"/>
  <c r="G21" i="19"/>
  <c r="D21" i="19"/>
  <c r="J18" i="19" a="1"/>
  <c r="J18" i="19" s="1"/>
  <c r="M13" i="19" s="1"/>
  <c r="O13" i="19" s="1"/>
  <c r="G13" i="19"/>
  <c r="D13" i="19"/>
  <c r="J77" i="30"/>
  <c r="J78" i="30"/>
  <c r="J79" i="30"/>
  <c r="J75" i="30"/>
  <c r="J76" i="30"/>
  <c r="J74" i="30"/>
  <c r="J68" i="30"/>
  <c r="J69" i="30"/>
  <c r="J70" i="30"/>
  <c r="J71" i="30"/>
  <c r="J67" i="30"/>
  <c r="J66" i="30"/>
  <c r="J60" i="30"/>
  <c r="J61" i="30"/>
  <c r="J62" i="30"/>
  <c r="J63" i="30"/>
  <c r="J59" i="30"/>
  <c r="J58" i="30"/>
  <c r="J52" i="30"/>
  <c r="J53" i="30"/>
  <c r="J54" i="30"/>
  <c r="J55" i="30"/>
  <c r="J51" i="30"/>
  <c r="J50" i="30"/>
  <c r="J40" i="30"/>
  <c r="J41" i="30"/>
  <c r="J42" i="30"/>
  <c r="J43" i="30"/>
  <c r="J44" i="30"/>
  <c r="J39" i="30"/>
  <c r="J34" i="30"/>
  <c r="J35" i="30"/>
  <c r="J36" i="30"/>
  <c r="J33" i="30"/>
  <c r="J32" i="30"/>
  <c r="J31" i="30"/>
  <c r="J22" i="30"/>
  <c r="J23" i="30"/>
  <c r="J24" i="30"/>
  <c r="J25" i="30"/>
  <c r="J21" i="30"/>
  <c r="J20" i="30"/>
  <c r="J13" i="30"/>
  <c r="J14" i="30"/>
  <c r="J15" i="30"/>
  <c r="J16" i="30"/>
  <c r="J17" i="30"/>
  <c r="J12" i="30"/>
  <c r="J72" i="30" l="1"/>
  <c r="O66" i="30" s="1"/>
  <c r="T67" i="30"/>
  <c r="S59" i="30"/>
  <c r="T70" i="30"/>
  <c r="T69" i="30"/>
  <c r="S61" i="30"/>
  <c r="S60" i="30"/>
  <c r="S67" i="30"/>
  <c r="J56" i="30"/>
  <c r="O50" i="30" s="1"/>
  <c r="J45" i="30"/>
  <c r="O39" i="30" s="1"/>
  <c r="J37" i="30"/>
  <c r="O31" i="30" s="1"/>
  <c r="J26" i="30"/>
  <c r="O20" i="30" s="1"/>
  <c r="J18" i="30"/>
  <c r="O12" i="30" s="1"/>
  <c r="U58" i="30"/>
  <c r="S68" i="30"/>
  <c r="S58" i="30"/>
  <c r="T68" i="30"/>
  <c r="J64" i="30"/>
  <c r="O58" i="30" s="1"/>
  <c r="S50" i="30"/>
  <c r="U50" i="30" s="1"/>
  <c r="S69" i="30"/>
  <c r="T66" i="30"/>
  <c r="S70" i="30"/>
  <c r="S66" i="30"/>
  <c r="T24" i="29"/>
  <c r="T23" i="29"/>
  <c r="T22" i="29"/>
  <c r="T26" i="29"/>
  <c r="J21" i="29" s="1"/>
  <c r="J64" i="29"/>
  <c r="M59" i="29" s="1"/>
  <c r="O59" i="29" s="1"/>
  <c r="Y61" i="29"/>
  <c r="Y62" i="29"/>
  <c r="Y60" i="29"/>
  <c r="Y59" i="29"/>
  <c r="U70" i="29"/>
  <c r="V70" i="29" s="1"/>
  <c r="U60" i="29"/>
  <c r="U67" i="29"/>
  <c r="J64" i="28"/>
  <c r="M59" i="28" s="1"/>
  <c r="O59" i="28" s="1"/>
  <c r="Y61" i="28"/>
  <c r="Y62" i="28"/>
  <c r="Y60" i="28"/>
  <c r="Y59" i="28"/>
  <c r="T26" i="28"/>
  <c r="J21" i="28" s="1"/>
  <c r="U70" i="28"/>
  <c r="V70" i="28" s="1"/>
  <c r="U67" i="28"/>
  <c r="T22" i="28"/>
  <c r="T23" i="28"/>
  <c r="Y62" i="27"/>
  <c r="J64" i="27"/>
  <c r="M59" i="27" s="1"/>
  <c r="O59" i="27" s="1"/>
  <c r="Y61" i="27"/>
  <c r="Y60" i="27"/>
  <c r="Y59" i="27"/>
  <c r="U67" i="27"/>
  <c r="T23" i="27"/>
  <c r="T24" i="27"/>
  <c r="J64" i="26"/>
  <c r="M59" i="26" s="1"/>
  <c r="O59" i="26" s="1"/>
  <c r="Y62" i="26"/>
  <c r="Y61" i="26"/>
  <c r="Y60" i="26"/>
  <c r="Y59" i="26"/>
  <c r="V67" i="26"/>
  <c r="T26" i="26"/>
  <c r="J21" i="26" s="1"/>
  <c r="U70" i="26"/>
  <c r="V70" i="26" s="1"/>
  <c r="T22" i="26"/>
  <c r="T23" i="26"/>
  <c r="J64" i="25"/>
  <c r="M59" i="25" s="1"/>
  <c r="O59" i="25" s="1"/>
  <c r="Y61" i="25"/>
  <c r="Y62" i="25"/>
  <c r="Y60" i="25"/>
  <c r="Y59" i="25"/>
  <c r="U67" i="25"/>
  <c r="T22" i="25"/>
  <c r="T23" i="25"/>
  <c r="J64" i="24"/>
  <c r="M59" i="24" s="1"/>
  <c r="O59" i="24" s="1"/>
  <c r="Y61" i="24"/>
  <c r="Y62" i="24"/>
  <c r="Y60" i="24"/>
  <c r="Y59" i="24"/>
  <c r="U67" i="24"/>
  <c r="T22" i="24"/>
  <c r="T23" i="24"/>
  <c r="U60" i="19"/>
  <c r="T21" i="19"/>
  <c r="T24" i="19" s="1"/>
  <c r="T21" i="22"/>
  <c r="T64" i="23"/>
  <c r="Y62" i="23" s="1"/>
  <c r="U71" i="23"/>
  <c r="V71" i="23" s="1"/>
  <c r="T64" i="19"/>
  <c r="J64" i="19" s="1"/>
  <c r="M59" i="19" s="1"/>
  <c r="O59" i="19" s="1"/>
  <c r="D82" i="19" s="1"/>
  <c r="Y59" i="23"/>
  <c r="J64" i="23"/>
  <c r="M59" i="23" s="1"/>
  <c r="O59" i="23" s="1"/>
  <c r="Y61" i="23"/>
  <c r="Y60" i="23"/>
  <c r="T24" i="23"/>
  <c r="T23" i="23"/>
  <c r="T22" i="23"/>
  <c r="T26" i="23"/>
  <c r="J21" i="23" s="1"/>
  <c r="D82" i="23"/>
  <c r="U60" i="23"/>
  <c r="U67" i="23"/>
  <c r="J64" i="22"/>
  <c r="M59" i="22" s="1"/>
  <c r="O59" i="22" s="1"/>
  <c r="D82" i="22" s="1"/>
  <c r="Y62" i="22"/>
  <c r="Y61" i="22"/>
  <c r="Y60" i="22"/>
  <c r="Y59" i="22"/>
  <c r="U67" i="22"/>
  <c r="T22" i="22"/>
  <c r="T23" i="22"/>
  <c r="D82" i="21"/>
  <c r="J64" i="21"/>
  <c r="M59" i="21" s="1"/>
  <c r="O59" i="21" s="1"/>
  <c r="Y61" i="21"/>
  <c r="Y62" i="21"/>
  <c r="Y60" i="21"/>
  <c r="Y59" i="21"/>
  <c r="U67" i="21"/>
  <c r="U68" i="21"/>
  <c r="V68" i="21" s="1"/>
  <c r="T22" i="21"/>
  <c r="T23" i="21"/>
  <c r="D82" i="20"/>
  <c r="V67" i="20"/>
  <c r="T21" i="20"/>
  <c r="U60" i="20"/>
  <c r="Y62" i="20"/>
  <c r="Y61" i="20"/>
  <c r="Y60" i="20"/>
  <c r="J64" i="20"/>
  <c r="M59" i="20" s="1"/>
  <c r="O59" i="20" s="1"/>
  <c r="Y59" i="20"/>
  <c r="S52" i="20"/>
  <c r="U52" i="20" s="1"/>
  <c r="U69" i="20"/>
  <c r="V69" i="20" s="1"/>
  <c r="S54" i="20"/>
  <c r="U54" i="20" s="1"/>
  <c r="S55" i="20"/>
  <c r="U55" i="20" s="1"/>
  <c r="Y62" i="19"/>
  <c r="Y61" i="19"/>
  <c r="Y60" i="19"/>
  <c r="Y59" i="19"/>
  <c r="U67" i="19"/>
  <c r="T26" i="19"/>
  <c r="J21" i="19" s="1"/>
  <c r="T23" i="19"/>
  <c r="T22" i="19"/>
  <c r="S60" i="5"/>
  <c r="S61" i="5"/>
  <c r="S62" i="5"/>
  <c r="S63" i="5"/>
  <c r="S59" i="5"/>
  <c r="M47" i="5"/>
  <c r="M66" i="30" l="1"/>
  <c r="S64" i="30"/>
  <c r="T64" i="30" s="1"/>
  <c r="Y61" i="30" s="1"/>
  <c r="M50" i="30"/>
  <c r="M39" i="30"/>
  <c r="M31" i="30"/>
  <c r="M12" i="30"/>
  <c r="T20" i="30"/>
  <c r="U59" i="30"/>
  <c r="M58" i="30" s="1"/>
  <c r="U70" i="30"/>
  <c r="V70" i="30" s="1"/>
  <c r="U66" i="30"/>
  <c r="V66" i="30" s="1"/>
  <c r="U69" i="30"/>
  <c r="V69" i="30" s="1"/>
  <c r="U67" i="30"/>
  <c r="V67" i="30" s="1"/>
  <c r="S51" i="30"/>
  <c r="U51" i="30" s="1"/>
  <c r="S54" i="30"/>
  <c r="U54" i="30" s="1"/>
  <c r="S53" i="30"/>
  <c r="U53" i="30" s="1"/>
  <c r="S52" i="30"/>
  <c r="U52" i="30" s="1"/>
  <c r="U68" i="30"/>
  <c r="V68" i="30" s="1"/>
  <c r="U73" i="29"/>
  <c r="V67" i="29"/>
  <c r="U73" i="28"/>
  <c r="V67" i="28"/>
  <c r="U73" i="27"/>
  <c r="V67" i="27"/>
  <c r="U73" i="26"/>
  <c r="U73" i="25"/>
  <c r="V67" i="25"/>
  <c r="U73" i="24"/>
  <c r="V67" i="24"/>
  <c r="T24" i="22"/>
  <c r="T26" i="22"/>
  <c r="J21" i="22" s="1"/>
  <c r="U73" i="23"/>
  <c r="V67" i="23"/>
  <c r="U73" i="22"/>
  <c r="V67" i="22"/>
  <c r="U73" i="21"/>
  <c r="V67" i="21"/>
  <c r="T23" i="20"/>
  <c r="T26" i="20"/>
  <c r="J21" i="20" s="1"/>
  <c r="T22" i="20"/>
  <c r="T24" i="20"/>
  <c r="U73" i="20"/>
  <c r="U73" i="19"/>
  <c r="V67" i="19"/>
  <c r="O50" i="4"/>
  <c r="O28" i="4"/>
  <c r="Y58" i="30" l="1"/>
  <c r="Y59" i="30"/>
  <c r="Y60" i="30"/>
  <c r="T23" i="30"/>
  <c r="T21" i="30"/>
  <c r="T22" i="30"/>
  <c r="T26" i="30"/>
  <c r="G74" i="16"/>
  <c r="D74" i="16"/>
  <c r="J80" i="16"/>
  <c r="J74" i="16"/>
  <c r="M28" i="16"/>
  <c r="M28" i="5"/>
  <c r="J45" i="5"/>
  <c r="M40" i="5" s="1"/>
  <c r="K41" i="5"/>
  <c r="K42" i="5"/>
  <c r="K43" i="5"/>
  <c r="K44" i="5"/>
  <c r="K40" i="5"/>
  <c r="D77" i="5"/>
  <c r="D67" i="5"/>
  <c r="D59" i="5"/>
  <c r="D51" i="5"/>
  <c r="D47" i="5"/>
  <c r="D40" i="5"/>
  <c r="D32" i="5"/>
  <c r="D28" i="5"/>
  <c r="D21" i="5"/>
  <c r="D13" i="5"/>
  <c r="D66" i="16"/>
  <c r="D58" i="16"/>
  <c r="D50" i="16"/>
  <c r="D47" i="16"/>
  <c r="D31" i="16"/>
  <c r="D28" i="16"/>
  <c r="D20" i="16"/>
  <c r="D12" i="16"/>
  <c r="O49" i="4" l="1"/>
  <c r="O48" i="4"/>
  <c r="O45" i="4"/>
  <c r="O46" i="4"/>
  <c r="O44" i="4"/>
  <c r="J80" i="5" l="1"/>
  <c r="T75" i="16" l="1"/>
  <c r="T74" i="16"/>
  <c r="G66" i="16"/>
  <c r="G58" i="16"/>
  <c r="G50" i="16"/>
  <c r="G47" i="16"/>
  <c r="G39" i="16"/>
  <c r="D39" i="16"/>
  <c r="G31" i="16"/>
  <c r="G28" i="16"/>
  <c r="G20" i="16"/>
  <c r="G12" i="16"/>
  <c r="T54" i="16"/>
  <c r="T53" i="16"/>
  <c r="T52" i="16"/>
  <c r="T51" i="16"/>
  <c r="T50" i="16"/>
  <c r="M20" i="16"/>
  <c r="G67" i="5"/>
  <c r="G59" i="5"/>
  <c r="G51" i="5"/>
  <c r="G47" i="5"/>
  <c r="G40" i="5"/>
  <c r="O40" i="5" s="1"/>
  <c r="G32" i="5"/>
  <c r="G28" i="5"/>
  <c r="G21" i="5"/>
  <c r="G13" i="5"/>
  <c r="M77" i="5"/>
  <c r="O77" i="5" s="1"/>
  <c r="T71" i="5"/>
  <c r="T69" i="5"/>
  <c r="T68" i="5"/>
  <c r="T67" i="5"/>
  <c r="U58" i="5"/>
  <c r="T55" i="5"/>
  <c r="T54" i="5"/>
  <c r="T53" i="5"/>
  <c r="T52" i="5"/>
  <c r="T51" i="5"/>
  <c r="S51" i="5"/>
  <c r="S52" i="5" s="1"/>
  <c r="J37" i="5"/>
  <c r="M32" i="5" s="1"/>
  <c r="J26" i="5" a="1"/>
  <c r="J26" i="5" s="1"/>
  <c r="M21" i="5" s="1"/>
  <c r="J18" i="5" a="1"/>
  <c r="J18" i="5" s="1"/>
  <c r="M13" i="5" s="1"/>
  <c r="O42" i="4"/>
  <c r="O41" i="4"/>
  <c r="O40" i="4"/>
  <c r="O39" i="4"/>
  <c r="O33" i="4"/>
  <c r="O32" i="4"/>
  <c r="O31" i="4"/>
  <c r="O30" i="4"/>
  <c r="O27" i="4"/>
  <c r="O26" i="4"/>
  <c r="O25" i="4"/>
  <c r="O23" i="4"/>
  <c r="O22" i="4"/>
  <c r="O21" i="4"/>
  <c r="O20" i="4"/>
  <c r="O18" i="4"/>
  <c r="O17" i="4"/>
  <c r="O16" i="4"/>
  <c r="O15" i="4"/>
  <c r="O13" i="4"/>
  <c r="O12" i="4"/>
  <c r="O11" i="4"/>
  <c r="O10" i="4"/>
  <c r="J39" i="16" l="1"/>
  <c r="J45" i="16" s="1"/>
  <c r="T70" i="5"/>
  <c r="S69" i="5"/>
  <c r="U69" i="5" s="1"/>
  <c r="U59" i="5"/>
  <c r="S70" i="5"/>
  <c r="O21" i="5"/>
  <c r="J20" i="16" s="1"/>
  <c r="J26" i="16" s="1"/>
  <c r="S54" i="5"/>
  <c r="U54" i="5" s="1"/>
  <c r="S55" i="5"/>
  <c r="U55" i="5" s="1"/>
  <c r="U51" i="5"/>
  <c r="U52" i="5"/>
  <c r="S71" i="5"/>
  <c r="S53" i="5"/>
  <c r="U53" i="5" s="1"/>
  <c r="S67" i="5"/>
  <c r="U67" i="5" s="1"/>
  <c r="V67" i="5" s="1"/>
  <c r="O32" i="5"/>
  <c r="O13" i="5"/>
  <c r="J12" i="16" s="1"/>
  <c r="J18" i="16" s="1"/>
  <c r="S68" i="5"/>
  <c r="U68" i="5" s="1"/>
  <c r="O47" i="5" l="1"/>
  <c r="J31" i="16"/>
  <c r="J37" i="16" s="1"/>
  <c r="O31" i="16" s="1"/>
  <c r="U60" i="5"/>
  <c r="T21" i="5"/>
  <c r="T23" i="5" s="1"/>
  <c r="U70" i="5"/>
  <c r="V70" i="5" s="1"/>
  <c r="U71" i="5"/>
  <c r="V71" i="5" s="1"/>
  <c r="V68" i="5"/>
  <c r="V69" i="5"/>
  <c r="J56" i="5"/>
  <c r="S64" i="5"/>
  <c r="J72" i="5"/>
  <c r="M67" i="5" s="1"/>
  <c r="O39" i="16"/>
  <c r="M12" i="16"/>
  <c r="T70" i="16"/>
  <c r="M31" i="16" l="1"/>
  <c r="T64" i="5"/>
  <c r="J64" i="5" s="1"/>
  <c r="M59" i="5" s="1"/>
  <c r="M51" i="5"/>
  <c r="O51" i="5" s="1"/>
  <c r="U73" i="5"/>
  <c r="T24" i="5"/>
  <c r="T26" i="5"/>
  <c r="J21" i="5" s="1"/>
  <c r="T22" i="5"/>
  <c r="M39" i="16"/>
  <c r="O12" i="16"/>
  <c r="T69" i="16"/>
  <c r="S61" i="16"/>
  <c r="T68" i="16"/>
  <c r="S60" i="16"/>
  <c r="O47" i="16" l="1"/>
  <c r="D82" i="16"/>
  <c r="J50" i="16"/>
  <c r="J56" i="16" s="1"/>
  <c r="O50" i="16" s="1"/>
  <c r="O67" i="5"/>
  <c r="J66" i="16" s="1"/>
  <c r="J72" i="16" s="1"/>
  <c r="O66" i="16" s="1"/>
  <c r="Y59" i="5"/>
  <c r="Y62" i="5"/>
  <c r="O59" i="5" s="1"/>
  <c r="J58" i="16" s="1"/>
  <c r="J64" i="16" s="1"/>
  <c r="O58" i="16" s="1"/>
  <c r="Y61" i="5"/>
  <c r="Y60" i="5"/>
  <c r="T67" i="16"/>
  <c r="S59" i="16"/>
  <c r="O20" i="16"/>
  <c r="M50" i="16" l="1"/>
  <c r="S50" i="16"/>
  <c r="U50" i="16" s="1"/>
  <c r="M66" i="16"/>
  <c r="T66" i="16"/>
  <c r="S70" i="16"/>
  <c r="U58" i="16"/>
  <c r="S67" i="16"/>
  <c r="S69" i="16"/>
  <c r="S68" i="16"/>
  <c r="S58" i="16"/>
  <c r="S64" i="16" s="1"/>
  <c r="T64" i="16" s="1"/>
  <c r="S66" i="16"/>
  <c r="S54" i="16" l="1"/>
  <c r="U54" i="16" s="1"/>
  <c r="S53" i="16"/>
  <c r="U53" i="16" s="1"/>
  <c r="S52" i="16"/>
  <c r="U52" i="16" s="1"/>
  <c r="S51" i="16"/>
  <c r="U51" i="16" s="1"/>
  <c r="U69" i="16"/>
  <c r="V69" i="16" s="1"/>
  <c r="Y59" i="16"/>
  <c r="Y58" i="16"/>
  <c r="Y60" i="16"/>
  <c r="Y61" i="16"/>
  <c r="U67" i="16"/>
  <c r="V67" i="16" s="1"/>
  <c r="U66" i="16"/>
  <c r="V66" i="16" s="1"/>
  <c r="U68" i="16"/>
  <c r="V68" i="16" s="1"/>
  <c r="U59" i="16"/>
  <c r="T20" i="16"/>
  <c r="U70" i="16"/>
  <c r="V70" i="16" s="1"/>
  <c r="M58" i="16" l="1"/>
  <c r="T21" i="16"/>
  <c r="T22" i="16"/>
  <c r="T26" i="16"/>
  <c r="T23" i="16"/>
  <c r="O28" i="5" l="1"/>
  <c r="D82" i="5" s="1"/>
  <c r="O28" i="16" l="1"/>
  <c r="J28" i="27"/>
  <c r="M28" i="27" s="1"/>
  <c r="O28" i="27" s="1"/>
  <c r="D82" i="27" s="1"/>
  <c r="J28" i="26"/>
  <c r="M28" i="26" s="1"/>
  <c r="O28" i="26" s="1"/>
  <c r="D82" i="26" s="1"/>
  <c r="J28" i="25"/>
  <c r="M28" i="25" s="1"/>
  <c r="O28" i="25" s="1"/>
  <c r="D82" i="25" s="1"/>
  <c r="J28" i="28"/>
  <c r="M28" i="28" s="1"/>
  <c r="O28" i="28" s="1"/>
  <c r="D82" i="28" s="1"/>
  <c r="J28" i="24"/>
  <c r="M28" i="24" s="1"/>
  <c r="O28" i="24" s="1"/>
  <c r="D82" i="24" s="1"/>
  <c r="J28" i="30"/>
  <c r="M28" i="30" s="1"/>
  <c r="O28" i="30" s="1"/>
  <c r="D82" i="30" s="1"/>
  <c r="M28" i="29"/>
  <c r="O28" i="29" s="1"/>
  <c r="D82" i="29" s="1"/>
</calcChain>
</file>

<file path=xl/sharedStrings.xml><?xml version="1.0" encoding="utf-8"?>
<sst xmlns="http://schemas.openxmlformats.org/spreadsheetml/2006/main" count="1507" uniqueCount="142">
  <si>
    <t>Month:</t>
  </si>
  <si>
    <t>December</t>
  </si>
  <si>
    <t>Weeks</t>
  </si>
  <si>
    <t>Store:</t>
  </si>
  <si>
    <t>State:</t>
  </si>
  <si>
    <t>Metric</t>
  </si>
  <si>
    <t>Weights</t>
  </si>
  <si>
    <t>Result</t>
  </si>
  <si>
    <t>Points</t>
  </si>
  <si>
    <t>Weighted Points</t>
  </si>
  <si>
    <t>People</t>
  </si>
  <si>
    <t>Best People</t>
  </si>
  <si>
    <t>Week 1</t>
  </si>
  <si>
    <t>Week 2</t>
  </si>
  <si>
    <t>Week 3</t>
  </si>
  <si>
    <t>Week 4</t>
  </si>
  <si>
    <t>Week 5</t>
  </si>
  <si>
    <t>Total</t>
  </si>
  <si>
    <t>Target</t>
  </si>
  <si>
    <t>Actual</t>
  </si>
  <si>
    <t>Rounded Sales</t>
  </si>
  <si>
    <t>Tier 1</t>
  </si>
  <si>
    <t>Tier 2</t>
  </si>
  <si>
    <t>Tier 3</t>
  </si>
  <si>
    <t>Tier 4</t>
  </si>
  <si>
    <t>Customers</t>
  </si>
  <si>
    <t>Complaints</t>
  </si>
  <si>
    <t>Guest Obsessed</t>
  </si>
  <si>
    <t>Market Force Complaints Per 10k</t>
  </si>
  <si>
    <t>REV</t>
  </si>
  <si>
    <t>Grade</t>
  </si>
  <si>
    <t>A</t>
  </si>
  <si>
    <t>B</t>
  </si>
  <si>
    <t>C</t>
  </si>
  <si>
    <t>Budget</t>
  </si>
  <si>
    <t>T/Y</t>
  </si>
  <si>
    <t>D</t>
  </si>
  <si>
    <t>Sales</t>
  </si>
  <si>
    <t>1st Fail</t>
  </si>
  <si>
    <t>2nd Fail</t>
  </si>
  <si>
    <t>Waste %</t>
  </si>
  <si>
    <t>Weeks Completed</t>
  </si>
  <si>
    <t>Profit</t>
  </si>
  <si>
    <t>Sale Avg</t>
  </si>
  <si>
    <t>Ultra</t>
  </si>
  <si>
    <t>Band</t>
  </si>
  <si>
    <t>High</t>
  </si>
  <si>
    <t>Medium</t>
  </si>
  <si>
    <t>Low</t>
  </si>
  <si>
    <t>Total Labour Vs Budget</t>
  </si>
  <si>
    <t>State</t>
  </si>
  <si>
    <t>EBITDA Vs Budget</t>
  </si>
  <si>
    <t>Qualifier</t>
  </si>
  <si>
    <t>Month</t>
  </si>
  <si>
    <t>Average Sales</t>
  </si>
  <si>
    <t>25 Points</t>
  </si>
  <si>
    <t>50 Points</t>
  </si>
  <si>
    <t>75 Points</t>
  </si>
  <si>
    <t>100 Points</t>
  </si>
  <si>
    <t>70th Percentile</t>
  </si>
  <si>
    <t>90th Percentile</t>
  </si>
  <si>
    <t>ACT</t>
  </si>
  <si>
    <t>NSW</t>
  </si>
  <si>
    <t>NT</t>
  </si>
  <si>
    <t>QLD Nth</t>
  </si>
  <si>
    <t>QLD Sth</t>
  </si>
  <si>
    <t>SA</t>
  </si>
  <si>
    <t>TAS</t>
  </si>
  <si>
    <t>VIC</t>
  </si>
  <si>
    <t>WA</t>
  </si>
  <si>
    <t>DT Restaurants</t>
  </si>
  <si>
    <t>Range</t>
  </si>
  <si>
    <t>100 Point Band</t>
  </si>
  <si>
    <t>75 Pont Band</t>
  </si>
  <si>
    <t>50 Point Band</t>
  </si>
  <si>
    <t>25 Point Band</t>
  </si>
  <si>
    <t>Bonus or Penalty</t>
  </si>
  <si>
    <t>A Grade REV</t>
  </si>
  <si>
    <t>1st Failed REV</t>
  </si>
  <si>
    <t>2nd Failed REV</t>
  </si>
  <si>
    <t>&lt; Budget</t>
  </si>
  <si>
    <t>July</t>
  </si>
  <si>
    <t>August</t>
  </si>
  <si>
    <t>September</t>
  </si>
  <si>
    <t>October</t>
  </si>
  <si>
    <t>November</t>
  </si>
  <si>
    <t>March</t>
  </si>
  <si>
    <t>January</t>
  </si>
  <si>
    <t>February</t>
  </si>
  <si>
    <t>June</t>
  </si>
  <si>
    <t>April</t>
  </si>
  <si>
    <t>May</t>
  </si>
  <si>
    <t>Half 1</t>
  </si>
  <si>
    <t>Jul</t>
  </si>
  <si>
    <t>Aug</t>
  </si>
  <si>
    <t>Sep</t>
  </si>
  <si>
    <t>Oct</t>
  </si>
  <si>
    <t>Nov</t>
  </si>
  <si>
    <t>Dec</t>
  </si>
  <si>
    <t>Average</t>
  </si>
  <si>
    <t>Half 2</t>
  </si>
  <si>
    <t>Jan</t>
  </si>
  <si>
    <t>Feb</t>
  </si>
  <si>
    <t>Mar</t>
  </si>
  <si>
    <t>Apr</t>
  </si>
  <si>
    <t>Jun</t>
  </si>
  <si>
    <t>RESTAURANT PERFORMANCE FACTOR FY2021-22</t>
  </si>
  <si>
    <t>Restaurant Proficiency</t>
  </si>
  <si>
    <t>Perfect Car Count</t>
  </si>
  <si>
    <t>80.00% to 84.99%</t>
  </si>
  <si>
    <t>75.00% to 79.99%</t>
  </si>
  <si>
    <t>Safety Audit (6 Monthly)</t>
  </si>
  <si>
    <t>≥ 95.00%</t>
  </si>
  <si>
    <t>≤ Benchmark</t>
  </si>
  <si>
    <t>Proficiency %</t>
  </si>
  <si>
    <t>Slow Point</t>
  </si>
  <si>
    <t>PCC</t>
  </si>
  <si>
    <t>Benchmark</t>
  </si>
  <si>
    <t>H1 Result</t>
  </si>
  <si>
    <t>H2 Result</t>
  </si>
  <si>
    <t>≥ 85.00%</t>
  </si>
  <si>
    <r>
      <rPr>
        <sz val="11"/>
        <rFont val="Calibri"/>
        <family val="2"/>
      </rPr>
      <t>≤ 74</t>
    </r>
    <r>
      <rPr>
        <sz val="11"/>
        <rFont val="Calibri"/>
        <family val="2"/>
        <scheme val="minor"/>
      </rPr>
      <t>.99%</t>
    </r>
  </si>
  <si>
    <t>Crew Staffing Tiered by Sales Band</t>
  </si>
  <si>
    <t>85.00% to 94.99%</t>
  </si>
  <si>
    <t>75.00% to 84.99%</t>
  </si>
  <si>
    <t>&lt; 75.00%</t>
  </si>
  <si>
    <t>RESTAURANT PERFORMANCE FACTOR FY2022-23</t>
  </si>
  <si>
    <t>Top 25% of Restaurants</t>
  </si>
  <si>
    <t>Between 25-50%</t>
  </si>
  <si>
    <t>Between 50-75%</t>
  </si>
  <si>
    <t>Bottom 25%</t>
  </si>
  <si>
    <t>Bonus ≥ 5% Vs Budget</t>
  </si>
  <si>
    <t>&gt; Budget to 4.99%</t>
  </si>
  <si>
    <t xml:space="preserve"> = Budget</t>
  </si>
  <si>
    <t>≤ Budget</t>
  </si>
  <si>
    <t>&gt; Budget</t>
  </si>
  <si>
    <t>Sales Vs Budget with Bonus</t>
  </si>
  <si>
    <t>Market Force</t>
  </si>
  <si>
    <t>JEDI</t>
  </si>
  <si>
    <t>Safety Audit</t>
  </si>
  <si>
    <t>Waste % Vs Budget</t>
  </si>
  <si>
    <t>+25%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</si>
</sst>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9" fontId="1" fillId="0" borderId="0" applyFont="0" applyFill="0" applyBorder="0" applyAlignment="0" applyProtection="0"/>
  </cellStyleXfs>
  <cellXfs count="352">
    <xf numFmtId="0" fontId="0" fillId="0" borderId="0" xfId="0"/>
    <xf numFmtId="0" fontId="1" fillId="0" borderId="0" xfId="1" applyFill="1"/>
    <xf numFmtId="0" fontId="1" fillId="0" borderId="0" xfId="1"/>
    <xf numFmtId="0" fontId="4" fillId="0" borderId="0" xfId="1" applyFont="1" applyFill="1" applyAlignment="1">
      <alignment vertical="center"/>
    </xf>
    <xf numFmtId="0" fontId="5" fillId="0" borderId="0" xfId="1" applyFont="1" applyFill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0" fontId="1" fillId="0" borderId="0" xfId="1" applyFont="1"/>
    <xf numFmtId="0" fontId="6" fillId="2" borderId="2" xfId="1" applyFont="1" applyFill="1" applyBorder="1" applyAlignment="1" applyProtection="1">
      <alignment vertical="center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4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vertical="center" textRotation="90"/>
    </xf>
    <xf numFmtId="0" fontId="6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 wrapText="1"/>
    </xf>
    <xf numFmtId="0" fontId="3" fillId="3" borderId="4" xfId="1" applyFont="1" applyFill="1" applyBorder="1" applyAlignment="1" applyProtection="1">
      <alignment horizontal="center"/>
      <protection locked="0"/>
    </xf>
    <xf numFmtId="0" fontId="7" fillId="0" borderId="0" xfId="1" applyFont="1"/>
    <xf numFmtId="0" fontId="7" fillId="0" borderId="4" xfId="1" applyFont="1" applyFill="1" applyBorder="1" applyAlignment="1" applyProtection="1">
      <alignment horizontal="center" vertical="center"/>
      <protection locked="0"/>
    </xf>
    <xf numFmtId="164" fontId="1" fillId="0" borderId="0" xfId="1" applyNumberFormat="1"/>
    <xf numFmtId="0" fontId="1" fillId="0" borderId="0" xfId="1" applyProtection="1">
      <protection locked="0"/>
    </xf>
    <xf numFmtId="3" fontId="7" fillId="0" borderId="4" xfId="1" applyNumberFormat="1" applyFont="1" applyFill="1" applyBorder="1" applyAlignment="1" applyProtection="1">
      <alignment horizontal="center"/>
      <protection locked="0"/>
    </xf>
    <xf numFmtId="2" fontId="1" fillId="0" borderId="0" xfId="1" applyNumberFormat="1"/>
    <xf numFmtId="20" fontId="1" fillId="0" borderId="0" xfId="1" applyNumberFormat="1"/>
    <xf numFmtId="164" fontId="7" fillId="0" borderId="4" xfId="1" applyNumberFormat="1" applyFont="1" applyFill="1" applyBorder="1" applyAlignment="1" applyProtection="1">
      <alignment horizontal="center"/>
      <protection locked="0"/>
    </xf>
    <xf numFmtId="10" fontId="1" fillId="0" borderId="0" xfId="1" applyNumberFormat="1"/>
    <xf numFmtId="0" fontId="6" fillId="0" borderId="0" xfId="1" applyFont="1" applyFill="1" applyBorder="1" applyAlignment="1">
      <alignment horizontal="center" vertical="center" textRotation="90"/>
    </xf>
    <xf numFmtId="0" fontId="2" fillId="0" borderId="0" xfId="1" applyFont="1" applyFill="1" applyBorder="1" applyAlignment="1">
      <alignment horizontal="center" vertical="center" wrapText="1"/>
    </xf>
    <xf numFmtId="9" fontId="1" fillId="0" borderId="0" xfId="1" applyNumberForma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10" fontId="7" fillId="0" borderId="4" xfId="1" applyNumberFormat="1" applyFont="1" applyFill="1" applyBorder="1" applyAlignment="1" applyProtection="1">
      <alignment horizontal="center"/>
      <protection locked="0"/>
    </xf>
    <xf numFmtId="165" fontId="1" fillId="0" borderId="0" xfId="1" applyNumberFormat="1"/>
    <xf numFmtId="16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9" fontId="8" fillId="0" borderId="0" xfId="1" applyNumberFormat="1" applyFont="1" applyFill="1" applyBorder="1" applyAlignment="1">
      <alignment vertical="center"/>
    </xf>
    <xf numFmtId="9" fontId="1" fillId="0" borderId="0" xfId="1" applyNumberFormat="1" applyFont="1" applyFill="1" applyBorder="1" applyAlignment="1">
      <alignment vertical="center"/>
    </xf>
    <xf numFmtId="2" fontId="1" fillId="0" borderId="0" xfId="1" applyNumberFormat="1" applyFont="1"/>
    <xf numFmtId="0" fontId="10" fillId="0" borderId="0" xfId="2" applyAlignment="1">
      <alignment horizontal="center"/>
    </xf>
    <xf numFmtId="0" fontId="10" fillId="0" borderId="0" xfId="2"/>
    <xf numFmtId="164" fontId="10" fillId="0" borderId="0" xfId="2" applyNumberFormat="1" applyAlignment="1">
      <alignment horizontal="center"/>
    </xf>
    <xf numFmtId="165" fontId="10" fillId="0" borderId="0" xfId="2" applyNumberFormat="1" applyAlignment="1">
      <alignment horizontal="center"/>
    </xf>
    <xf numFmtId="1" fontId="1" fillId="0" borderId="6" xfId="1" applyNumberFormat="1" applyFill="1" applyBorder="1" applyAlignment="1">
      <alignment horizontal="center" vertical="center"/>
    </xf>
    <xf numFmtId="1" fontId="1" fillId="0" borderId="4" xfId="1" applyNumberFormat="1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4" xfId="1" applyNumberFormat="1" applyFont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9" fontId="1" fillId="0" borderId="0" xfId="1" applyNumberFormat="1"/>
    <xf numFmtId="0" fontId="6" fillId="2" borderId="2" xfId="1" applyFont="1" applyFill="1" applyBorder="1" applyAlignment="1" applyProtection="1">
      <alignment vertical="center"/>
    </xf>
    <xf numFmtId="0" fontId="1" fillId="0" borderId="0" xfId="1" applyProtection="1"/>
    <xf numFmtId="0" fontId="1" fillId="0" borderId="0" xfId="1" applyFill="1" applyProtection="1"/>
    <xf numFmtId="0" fontId="4" fillId="0" borderId="0" xfId="1" applyFont="1" applyFill="1" applyAlignment="1" applyProtection="1">
      <alignment vertical="center"/>
    </xf>
    <xf numFmtId="0" fontId="5" fillId="0" borderId="0" xfId="1" applyFont="1" applyFill="1" applyAlignment="1" applyProtection="1">
      <alignment horizontal="center" vertical="center"/>
    </xf>
    <xf numFmtId="0" fontId="1" fillId="0" borderId="0" xfId="1" applyFont="1" applyProtection="1"/>
    <xf numFmtId="0" fontId="6" fillId="2" borderId="4" xfId="1" applyFont="1" applyFill="1" applyBorder="1" applyAlignment="1" applyProtection="1">
      <alignment horizontal="center" vertical="center"/>
    </xf>
    <xf numFmtId="0" fontId="6" fillId="0" borderId="0" xfId="1" applyFont="1" applyFill="1" applyBorder="1" applyAlignment="1" applyProtection="1">
      <alignment vertical="center" textRotation="90"/>
    </xf>
    <xf numFmtId="0" fontId="6" fillId="0" borderId="0" xfId="1" applyFont="1" applyFill="1" applyBorder="1" applyAlignment="1" applyProtection="1">
      <alignment vertical="center"/>
    </xf>
    <xf numFmtId="0" fontId="2" fillId="0" borderId="0" xfId="1" applyFont="1" applyFill="1" applyBorder="1" applyAlignment="1" applyProtection="1">
      <alignment vertical="center" wrapText="1"/>
    </xf>
    <xf numFmtId="0" fontId="3" fillId="3" borderId="4" xfId="1" applyFont="1" applyFill="1" applyBorder="1" applyAlignment="1" applyProtection="1">
      <alignment horizontal="center"/>
    </xf>
    <xf numFmtId="0" fontId="7" fillId="0" borderId="0" xfId="1" applyFont="1" applyProtection="1"/>
    <xf numFmtId="164" fontId="1" fillId="0" borderId="0" xfId="1" applyNumberFormat="1" applyProtection="1"/>
    <xf numFmtId="2" fontId="1" fillId="0" borderId="0" xfId="1" applyNumberFormat="1" applyProtection="1"/>
    <xf numFmtId="20" fontId="1" fillId="0" borderId="0" xfId="1" applyNumberFormat="1" applyProtection="1"/>
    <xf numFmtId="10" fontId="1" fillId="0" borderId="0" xfId="1" applyNumberFormat="1" applyProtection="1"/>
    <xf numFmtId="0" fontId="2" fillId="0" borderId="0" xfId="1" applyFont="1" applyFill="1" applyBorder="1" applyAlignment="1" applyProtection="1">
      <alignment horizontal="center" vertical="center" wrapText="1"/>
    </xf>
    <xf numFmtId="9" fontId="1" fillId="0" borderId="0" xfId="1" applyNumberForma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/>
    </xf>
    <xf numFmtId="0" fontId="7" fillId="0" borderId="0" xfId="1" applyFont="1" applyFill="1" applyBorder="1" applyAlignment="1" applyProtection="1">
      <alignment horizontal="center" vertical="center"/>
    </xf>
    <xf numFmtId="0" fontId="1" fillId="0" borderId="0" xfId="1" applyBorder="1" applyAlignment="1" applyProtection="1">
      <alignment horizontal="center" vertical="center"/>
    </xf>
    <xf numFmtId="165" fontId="1" fillId="0" borderId="0" xfId="1" applyNumberFormat="1" applyProtection="1"/>
    <xf numFmtId="164" fontId="1" fillId="0" borderId="0" xfId="1" applyNumberFormat="1" applyAlignment="1" applyProtection="1">
      <alignment horizontal="center"/>
    </xf>
    <xf numFmtId="0" fontId="1" fillId="0" borderId="0" xfId="1" applyAlignment="1" applyProtection="1">
      <alignment horizontal="center"/>
    </xf>
    <xf numFmtId="9" fontId="8" fillId="0" borderId="0" xfId="1" applyNumberFormat="1" applyFont="1" applyFill="1" applyBorder="1" applyAlignment="1" applyProtection="1">
      <alignment vertical="center"/>
    </xf>
    <xf numFmtId="9" fontId="1" fillId="0" borderId="0" xfId="1" applyNumberFormat="1" applyFont="1" applyFill="1" applyBorder="1" applyAlignment="1" applyProtection="1">
      <alignment vertical="center"/>
    </xf>
    <xf numFmtId="2" fontId="1" fillId="0" borderId="0" xfId="1" applyNumberFormat="1" applyFont="1" applyProtection="1"/>
    <xf numFmtId="0" fontId="5" fillId="0" borderId="0" xfId="1" applyFont="1" applyFill="1" applyAlignment="1" applyProtection="1">
      <alignment horizontal="center" vertical="center"/>
    </xf>
    <xf numFmtId="0" fontId="3" fillId="3" borderId="4" xfId="1" applyFont="1" applyFill="1" applyBorder="1" applyAlignment="1" applyProtection="1">
      <alignment horizontal="center" vertical="center"/>
      <protection locked="0"/>
    </xf>
    <xf numFmtId="20" fontId="7" fillId="0" borderId="4" xfId="1" applyNumberFormat="1" applyFont="1" applyFill="1" applyBorder="1" applyAlignment="1" applyProtection="1">
      <alignment horizontal="center" vertical="center"/>
      <protection locked="0"/>
    </xf>
    <xf numFmtId="1" fontId="7" fillId="0" borderId="4" xfId="1" applyNumberFormat="1" applyFont="1" applyFill="1" applyBorder="1" applyAlignment="1" applyProtection="1">
      <alignment horizontal="center" vertical="center"/>
    </xf>
    <xf numFmtId="10" fontId="7" fillId="0" borderId="0" xfId="1" applyNumberFormat="1" applyFont="1" applyFill="1" applyBorder="1" applyAlignment="1" applyProtection="1">
      <alignment horizontal="center"/>
    </xf>
    <xf numFmtId="0" fontId="3" fillId="0" borderId="0" xfId="1" applyFont="1" applyFill="1" applyBorder="1" applyAlignment="1" applyProtection="1">
      <alignment horizontal="center"/>
      <protection locked="0"/>
    </xf>
    <xf numFmtId="0" fontId="1" fillId="0" borderId="0" xfId="1" applyNumberFormat="1"/>
    <xf numFmtId="10" fontId="1" fillId="0" borderId="0" xfId="3" applyNumberFormat="1"/>
    <xf numFmtId="2" fontId="1" fillId="0" borderId="0" xfId="1" applyNumberFormat="1" applyFill="1"/>
    <xf numFmtId="0" fontId="1" fillId="0" borderId="0" xfId="1" applyFill="1" applyBorder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13" fillId="0" borderId="0" xfId="1" applyFont="1"/>
    <xf numFmtId="0" fontId="12" fillId="0" borderId="0" xfId="1" applyFont="1" applyFill="1" applyBorder="1" applyAlignment="1">
      <alignment vertical="center" textRotation="90"/>
    </xf>
    <xf numFmtId="0" fontId="12" fillId="0" borderId="0" xfId="1" applyFont="1" applyFill="1" applyBorder="1" applyAlignment="1">
      <alignment horizontal="center" vertical="center" textRotation="90"/>
    </xf>
    <xf numFmtId="0" fontId="0" fillId="0" borderId="0" xfId="0" applyAlignment="1">
      <alignment horizontal="center"/>
    </xf>
    <xf numFmtId="10" fontId="0" fillId="0" borderId="0" xfId="3" applyNumberFormat="1" applyFont="1" applyAlignment="1">
      <alignment horizontal="center"/>
    </xf>
    <xf numFmtId="0" fontId="0" fillId="0" borderId="0" xfId="0" applyAlignment="1"/>
    <xf numFmtId="49" fontId="0" fillId="0" borderId="4" xfId="1" applyNumberFormat="1" applyFont="1" applyBorder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4" xfId="1" applyFont="1" applyFill="1" applyBorder="1" applyAlignment="1" applyProtection="1">
      <alignment horizontal="center" vertical="center"/>
    </xf>
    <xf numFmtId="10" fontId="7" fillId="0" borderId="4" xfId="1" applyNumberFormat="1" applyFont="1" applyFill="1" applyBorder="1" applyAlignment="1" applyProtection="1">
      <alignment horizontal="center"/>
      <protection locked="0"/>
    </xf>
    <xf numFmtId="0" fontId="3" fillId="3" borderId="4" xfId="1" applyFont="1" applyFill="1" applyBorder="1" applyAlignment="1" applyProtection="1">
      <alignment horizontal="center"/>
      <protection locked="0"/>
    </xf>
    <xf numFmtId="0" fontId="12" fillId="4" borderId="6" xfId="1" applyFont="1" applyFill="1" applyBorder="1" applyAlignment="1">
      <alignment horizontal="center" vertical="center" textRotation="90"/>
    </xf>
    <xf numFmtId="0" fontId="12" fillId="4" borderId="9" xfId="1" applyFont="1" applyFill="1" applyBorder="1" applyAlignment="1">
      <alignment horizontal="center" vertical="center" textRotation="90"/>
    </xf>
    <xf numFmtId="0" fontId="12" fillId="4" borderId="12" xfId="1" applyFont="1" applyFill="1" applyBorder="1" applyAlignment="1">
      <alignment horizontal="center" vertical="center" textRotation="90"/>
    </xf>
    <xf numFmtId="0" fontId="2" fillId="4" borderId="4" xfId="1" applyFont="1" applyFill="1" applyBorder="1" applyAlignment="1">
      <alignment horizontal="center" vertical="center" wrapText="1"/>
    </xf>
    <xf numFmtId="9" fontId="1" fillId="0" borderId="6" xfId="1" applyNumberFormat="1" applyFill="1" applyBorder="1" applyAlignment="1">
      <alignment horizontal="center" vertical="center"/>
    </xf>
    <xf numFmtId="9" fontId="1" fillId="0" borderId="9" xfId="1" applyNumberFormat="1" applyFill="1" applyBorder="1" applyAlignment="1">
      <alignment horizontal="center" vertical="center"/>
    </xf>
    <xf numFmtId="9" fontId="1" fillId="0" borderId="12" xfId="1" applyNumberFormat="1" applyFill="1" applyBorder="1" applyAlignment="1">
      <alignment horizontal="center" vertical="center"/>
    </xf>
    <xf numFmtId="9" fontId="11" fillId="0" borderId="1" xfId="1" applyNumberFormat="1" applyFont="1" applyFill="1" applyBorder="1" applyAlignment="1">
      <alignment horizontal="center"/>
    </xf>
    <xf numFmtId="0" fontId="7" fillId="0" borderId="2" xfId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2" fontId="1" fillId="0" borderId="1" xfId="1" applyNumberFormat="1" applyFill="1" applyBorder="1" applyAlignment="1">
      <alignment horizontal="center" vertical="center"/>
    </xf>
    <xf numFmtId="2" fontId="1" fillId="0" borderId="3" xfId="1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/>
    </xf>
    <xf numFmtId="49" fontId="7" fillId="0" borderId="1" xfId="1" applyNumberFormat="1" applyFont="1" applyFill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0" borderId="3" xfId="1" applyNumberFormat="1" applyFont="1" applyFill="1" applyBorder="1" applyAlignment="1">
      <alignment horizontal="center"/>
    </xf>
    <xf numFmtId="0" fontId="5" fillId="0" borderId="0" xfId="1" applyFont="1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49" fontId="11" fillId="0" borderId="1" xfId="1" applyNumberFormat="1" applyFont="1" applyFill="1" applyBorder="1" applyAlignment="1">
      <alignment horizontal="center"/>
    </xf>
    <xf numFmtId="0" fontId="12" fillId="8" borderId="6" xfId="1" applyFont="1" applyFill="1" applyBorder="1" applyAlignment="1">
      <alignment horizontal="center" vertical="center" textRotation="90"/>
    </xf>
    <xf numFmtId="0" fontId="12" fillId="8" borderId="9" xfId="1" applyFont="1" applyFill="1" applyBorder="1" applyAlignment="1">
      <alignment horizontal="center" vertical="center" textRotation="90"/>
    </xf>
    <xf numFmtId="0" fontId="12" fillId="8" borderId="12" xfId="1" applyFont="1" applyFill="1" applyBorder="1" applyAlignment="1">
      <alignment horizontal="center" vertical="center" textRotation="90"/>
    </xf>
    <xf numFmtId="0" fontId="2" fillId="8" borderId="7" xfId="1" applyFont="1" applyFill="1" applyBorder="1" applyAlignment="1">
      <alignment horizontal="center" vertical="center" wrapText="1"/>
    </xf>
    <xf numFmtId="0" fontId="2" fillId="8" borderId="8" xfId="1" applyFont="1" applyFill="1" applyBorder="1" applyAlignment="1">
      <alignment horizontal="center" vertical="center" wrapText="1"/>
    </xf>
    <xf numFmtId="0" fontId="2" fillId="8" borderId="10" xfId="1" applyFont="1" applyFill="1" applyBorder="1" applyAlignment="1">
      <alignment horizontal="center" vertical="center" wrapText="1"/>
    </xf>
    <xf numFmtId="0" fontId="2" fillId="8" borderId="11" xfId="1" applyFont="1" applyFill="1" applyBorder="1" applyAlignment="1">
      <alignment horizontal="center" vertical="center" wrapText="1"/>
    </xf>
    <xf numFmtId="0" fontId="2" fillId="8" borderId="13" xfId="1" applyFont="1" applyFill="1" applyBorder="1" applyAlignment="1">
      <alignment horizontal="center" vertical="center" wrapText="1"/>
    </xf>
    <xf numFmtId="0" fontId="2" fillId="8" borderId="1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1" fillId="0" borderId="4" xfId="1" applyFont="1" applyBorder="1" applyAlignment="1">
      <alignment horizontal="center"/>
    </xf>
    <xf numFmtId="0" fontId="1" fillId="0" borderId="4" xfId="1" applyBorder="1" applyAlignment="1">
      <alignment horizontal="center"/>
    </xf>
    <xf numFmtId="2" fontId="1" fillId="0" borderId="4" xfId="1" applyNumberFormat="1" applyBorder="1" applyAlignment="1">
      <alignment horizontal="center"/>
    </xf>
    <xf numFmtId="0" fontId="12" fillId="5" borderId="6" xfId="1" applyFont="1" applyFill="1" applyBorder="1" applyAlignment="1">
      <alignment horizontal="center" vertical="center" textRotation="90"/>
    </xf>
    <xf numFmtId="0" fontId="12" fillId="5" borderId="9" xfId="1" applyFont="1" applyFill="1" applyBorder="1" applyAlignment="1">
      <alignment horizontal="center" vertical="center" textRotation="90"/>
    </xf>
    <xf numFmtId="0" fontId="12" fillId="5" borderId="12" xfId="1" applyFont="1" applyFill="1" applyBorder="1" applyAlignment="1">
      <alignment horizontal="center" vertical="center" textRotation="90"/>
    </xf>
    <xf numFmtId="0" fontId="2" fillId="5" borderId="7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  <xf numFmtId="0" fontId="2" fillId="5" borderId="10" xfId="1" applyFont="1" applyFill="1" applyBorder="1" applyAlignment="1">
      <alignment horizontal="center" vertical="center" wrapText="1"/>
    </xf>
    <xf numFmtId="0" fontId="2" fillId="5" borderId="11" xfId="1" applyFont="1" applyFill="1" applyBorder="1" applyAlignment="1">
      <alignment horizontal="center" vertical="center" wrapText="1"/>
    </xf>
    <xf numFmtId="0" fontId="2" fillId="5" borderId="13" xfId="1" applyFont="1" applyFill="1" applyBorder="1" applyAlignment="1">
      <alignment horizontal="center" vertical="center" wrapText="1"/>
    </xf>
    <xf numFmtId="0" fontId="2" fillId="5" borderId="14" xfId="1" applyFont="1" applyFill="1" applyBorder="1" applyAlignment="1">
      <alignment horizontal="center" vertical="center" wrapText="1"/>
    </xf>
    <xf numFmtId="2" fontId="1" fillId="0" borderId="4" xfId="1" applyNumberFormat="1" applyFill="1" applyBorder="1" applyAlignment="1">
      <alignment horizontal="center" vertical="center"/>
    </xf>
    <xf numFmtId="9" fontId="7" fillId="0" borderId="1" xfId="1" applyNumberFormat="1" applyFont="1" applyFill="1" applyBorder="1" applyAlignment="1">
      <alignment horizontal="center"/>
    </xf>
    <xf numFmtId="0" fontId="2" fillId="6" borderId="4" xfId="1" applyFont="1" applyFill="1" applyBorder="1" applyAlignment="1">
      <alignment horizontal="center" vertical="center" wrapText="1"/>
    </xf>
    <xf numFmtId="9" fontId="8" fillId="0" borderId="4" xfId="1" applyNumberFormat="1" applyFont="1" applyFill="1" applyBorder="1" applyAlignment="1">
      <alignment horizontal="center" vertical="center"/>
    </xf>
    <xf numFmtId="0" fontId="12" fillId="7" borderId="4" xfId="1" applyFont="1" applyFill="1" applyBorder="1" applyAlignment="1">
      <alignment horizontal="center" vertical="center" textRotation="90"/>
    </xf>
    <xf numFmtId="1" fontId="9" fillId="0" borderId="7" xfId="1" applyNumberFormat="1" applyFont="1" applyBorder="1" applyAlignment="1">
      <alignment horizontal="center" vertical="center"/>
    </xf>
    <xf numFmtId="1" fontId="9" fillId="0" borderId="5" xfId="1" applyNumberFormat="1" applyFont="1" applyBorder="1" applyAlignment="1">
      <alignment horizontal="center" vertical="center"/>
    </xf>
    <xf numFmtId="1" fontId="9" fillId="0" borderId="8" xfId="1" applyNumberFormat="1" applyFont="1" applyBorder="1" applyAlignment="1">
      <alignment horizontal="center" vertical="center"/>
    </xf>
    <xf numFmtId="1" fontId="9" fillId="0" borderId="10" xfId="1" applyNumberFormat="1" applyFont="1" applyBorder="1" applyAlignment="1">
      <alignment horizontal="center" vertical="center"/>
    </xf>
    <xf numFmtId="1" fontId="9" fillId="0" borderId="0" xfId="1" applyNumberFormat="1" applyFont="1" applyBorder="1" applyAlignment="1">
      <alignment horizontal="center" vertical="center"/>
    </xf>
    <xf numFmtId="1" fontId="9" fillId="0" borderId="11" xfId="1" applyNumberFormat="1" applyFont="1" applyBorder="1" applyAlignment="1">
      <alignment horizontal="center" vertical="center"/>
    </xf>
    <xf numFmtId="1" fontId="9" fillId="0" borderId="13" xfId="1" applyNumberFormat="1" applyFont="1" applyBorder="1" applyAlignment="1">
      <alignment horizontal="center" vertical="center"/>
    </xf>
    <xf numFmtId="1" fontId="9" fillId="0" borderId="15" xfId="1" applyNumberFormat="1" applyFont="1" applyBorder="1" applyAlignment="1">
      <alignment horizontal="center" vertical="center"/>
    </xf>
    <xf numFmtId="1" fontId="9" fillId="0" borderId="14" xfId="1" applyNumberFormat="1" applyFont="1" applyBorder="1" applyAlignment="1">
      <alignment horizontal="center" vertical="center"/>
    </xf>
    <xf numFmtId="2" fontId="1" fillId="0" borderId="1" xfId="1" applyNumberFormat="1" applyBorder="1" applyAlignment="1">
      <alignment horizontal="center" vertical="center"/>
    </xf>
    <xf numFmtId="2" fontId="1" fillId="0" borderId="3" xfId="1" applyNumberFormat="1" applyBorder="1" applyAlignment="1">
      <alignment horizontal="center" vertical="center"/>
    </xf>
    <xf numFmtId="0" fontId="12" fillId="6" borderId="4" xfId="1" applyFont="1" applyFill="1" applyBorder="1" applyAlignment="1">
      <alignment horizontal="center" vertical="center" textRotation="90"/>
    </xf>
    <xf numFmtId="0" fontId="2" fillId="6" borderId="7" xfId="1" applyFont="1" applyFill="1" applyBorder="1" applyAlignment="1">
      <alignment horizontal="center" vertical="center" wrapText="1"/>
    </xf>
    <xf numFmtId="0" fontId="2" fillId="6" borderId="8" xfId="1" applyFont="1" applyFill="1" applyBorder="1" applyAlignment="1">
      <alignment horizontal="center" vertical="center" wrapText="1"/>
    </xf>
    <xf numFmtId="0" fontId="2" fillId="6" borderId="10" xfId="1" applyFont="1" applyFill="1" applyBorder="1" applyAlignment="1">
      <alignment horizontal="center" vertical="center" wrapText="1"/>
    </xf>
    <xf numFmtId="0" fontId="2" fillId="6" borderId="11" xfId="1" applyFont="1" applyFill="1" applyBorder="1" applyAlignment="1">
      <alignment horizontal="center" vertical="center" wrapText="1"/>
    </xf>
    <xf numFmtId="0" fontId="2" fillId="6" borderId="13" xfId="1" applyFont="1" applyFill="1" applyBorder="1" applyAlignment="1">
      <alignment horizontal="center" vertical="center" wrapText="1"/>
    </xf>
    <xf numFmtId="0" fontId="2" fillId="6" borderId="14" xfId="1" applyFont="1" applyFill="1" applyBorder="1" applyAlignment="1">
      <alignment horizontal="center" vertical="center" wrapText="1"/>
    </xf>
    <xf numFmtId="2" fontId="1" fillId="0" borderId="4" xfId="1" applyNumberFormat="1" applyBorder="1" applyAlignment="1">
      <alignment horizontal="center" vertical="center"/>
    </xf>
    <xf numFmtId="0" fontId="6" fillId="2" borderId="1" xfId="1" applyFont="1" applyFill="1" applyBorder="1" applyAlignment="1" applyProtection="1">
      <alignment horizontal="center" vertical="center"/>
    </xf>
    <xf numFmtId="0" fontId="6" fillId="2" borderId="2" xfId="1" applyFont="1" applyFill="1" applyBorder="1" applyAlignment="1" applyProtection="1">
      <alignment horizontal="center" vertical="center"/>
    </xf>
    <xf numFmtId="0" fontId="6" fillId="2" borderId="3" xfId="1" applyFont="1" applyFill="1" applyBorder="1" applyAlignment="1" applyProtection="1">
      <alignment horizontal="center" vertical="center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4" xfId="1" applyFont="1" applyFill="1" applyBorder="1" applyAlignment="1" applyProtection="1">
      <alignment horizontal="center" vertical="center"/>
    </xf>
    <xf numFmtId="2" fontId="1" fillId="0" borderId="7" xfId="1" applyNumberFormat="1" applyFill="1" applyBorder="1" applyAlignment="1" applyProtection="1">
      <alignment horizontal="center" vertical="center"/>
    </xf>
    <xf numFmtId="2" fontId="1" fillId="0" borderId="8" xfId="1" applyNumberFormat="1" applyFill="1" applyBorder="1" applyAlignment="1" applyProtection="1">
      <alignment horizontal="center" vertical="center"/>
    </xf>
    <xf numFmtId="2" fontId="1" fillId="0" borderId="10" xfId="1" applyNumberFormat="1" applyFill="1" applyBorder="1" applyAlignment="1" applyProtection="1">
      <alignment horizontal="center" vertical="center"/>
    </xf>
    <xf numFmtId="2" fontId="1" fillId="0" borderId="11" xfId="1" applyNumberFormat="1" applyFill="1" applyBorder="1" applyAlignment="1" applyProtection="1">
      <alignment horizontal="center" vertical="center"/>
    </xf>
    <xf numFmtId="2" fontId="1" fillId="0" borderId="13" xfId="1" applyNumberFormat="1" applyFill="1" applyBorder="1" applyAlignment="1" applyProtection="1">
      <alignment horizontal="center" vertical="center"/>
    </xf>
    <xf numFmtId="2" fontId="1" fillId="0" borderId="14" xfId="1" applyNumberFormat="1" applyFill="1" applyBorder="1" applyAlignment="1" applyProtection="1">
      <alignment horizontal="center" vertical="center"/>
    </xf>
    <xf numFmtId="2" fontId="7" fillId="0" borderId="1" xfId="1" applyNumberFormat="1" applyFont="1" applyFill="1" applyBorder="1" applyAlignment="1" applyProtection="1">
      <alignment horizontal="center"/>
    </xf>
    <xf numFmtId="2" fontId="7" fillId="0" borderId="3" xfId="1" applyNumberFormat="1" applyFont="1" applyFill="1" applyBorder="1" applyAlignment="1" applyProtection="1">
      <alignment horizontal="center"/>
    </xf>
    <xf numFmtId="9" fontId="1" fillId="0" borderId="6" xfId="1" applyNumberFormat="1" applyFill="1" applyBorder="1" applyAlignment="1" applyProtection="1">
      <alignment horizontal="center" vertical="center"/>
    </xf>
    <xf numFmtId="9" fontId="1" fillId="0" borderId="9" xfId="1" applyNumberFormat="1" applyFill="1" applyBorder="1" applyAlignment="1" applyProtection="1">
      <alignment horizontal="center" vertical="center"/>
    </xf>
    <xf numFmtId="9" fontId="1" fillId="0" borderId="12" xfId="1" applyNumberFormat="1" applyFill="1" applyBorder="1" applyAlignment="1" applyProtection="1">
      <alignment horizontal="center" vertical="center"/>
    </xf>
    <xf numFmtId="1" fontId="1" fillId="0" borderId="6" xfId="1" applyNumberFormat="1" applyFill="1" applyBorder="1" applyAlignment="1" applyProtection="1">
      <alignment horizontal="center" vertical="center"/>
    </xf>
    <xf numFmtId="1" fontId="1" fillId="0" borderId="9" xfId="1" applyNumberFormat="1" applyFill="1" applyBorder="1" applyAlignment="1" applyProtection="1">
      <alignment horizontal="center" vertical="center"/>
    </xf>
    <xf numFmtId="1" fontId="1" fillId="0" borderId="12" xfId="1" applyNumberFormat="1" applyFill="1" applyBorder="1" applyAlignment="1" applyProtection="1">
      <alignment horizontal="center" vertical="center"/>
    </xf>
    <xf numFmtId="9" fontId="1" fillId="0" borderId="4" xfId="1" applyNumberFormat="1" applyFill="1" applyBorder="1" applyAlignment="1" applyProtection="1">
      <alignment horizontal="center" vertical="center"/>
    </xf>
    <xf numFmtId="1" fontId="1" fillId="0" borderId="6" xfId="1" applyNumberFormat="1" applyFill="1" applyBorder="1" applyAlignment="1">
      <alignment horizontal="center" vertical="center"/>
    </xf>
    <xf numFmtId="1" fontId="1" fillId="0" borderId="12" xfId="1" applyNumberFormat="1" applyFill="1" applyBorder="1" applyAlignment="1">
      <alignment horizontal="center" vertical="center"/>
    </xf>
    <xf numFmtId="0" fontId="3" fillId="3" borderId="4" xfId="1" applyFont="1" applyFill="1" applyBorder="1" applyAlignment="1" applyProtection="1">
      <alignment horizontal="center" vertical="center" wrapText="1"/>
      <protection locked="0"/>
    </xf>
    <xf numFmtId="2" fontId="1" fillId="0" borderId="4" xfId="1" applyNumberFormat="1" applyFill="1" applyBorder="1" applyAlignment="1" applyProtection="1">
      <alignment horizontal="center" vertical="center"/>
    </xf>
    <xf numFmtId="10" fontId="7" fillId="0" borderId="7" xfId="1" applyNumberFormat="1" applyFont="1" applyFill="1" applyBorder="1" applyAlignment="1" applyProtection="1">
      <alignment horizontal="center" vertical="center"/>
    </xf>
    <xf numFmtId="10" fontId="7" fillId="0" borderId="8" xfId="1" applyNumberFormat="1" applyFont="1" applyFill="1" applyBorder="1" applyAlignment="1" applyProtection="1">
      <alignment horizontal="center" vertical="center"/>
    </xf>
    <xf numFmtId="10" fontId="7" fillId="0" borderId="13" xfId="1" applyNumberFormat="1" applyFont="1" applyFill="1" applyBorder="1" applyAlignment="1" applyProtection="1">
      <alignment horizontal="center" vertical="center"/>
    </xf>
    <xf numFmtId="10" fontId="7" fillId="0" borderId="14" xfId="1" applyNumberFormat="1" applyFont="1" applyFill="1" applyBorder="1" applyAlignment="1" applyProtection="1">
      <alignment horizontal="center" vertical="center"/>
    </xf>
    <xf numFmtId="0" fontId="1" fillId="0" borderId="6" xfId="1" applyBorder="1" applyAlignment="1" applyProtection="1">
      <alignment horizontal="center" vertical="center"/>
    </xf>
    <xf numFmtId="0" fontId="1" fillId="0" borderId="9" xfId="1" applyBorder="1" applyAlignment="1" applyProtection="1">
      <alignment horizontal="center" vertical="center"/>
    </xf>
    <xf numFmtId="0" fontId="1" fillId="0" borderId="12" xfId="1" applyBorder="1" applyAlignment="1" applyProtection="1">
      <alignment horizontal="center" vertical="center"/>
    </xf>
    <xf numFmtId="0" fontId="1" fillId="0" borderId="4" xfId="1" applyFont="1" applyFill="1" applyBorder="1" applyAlignment="1" applyProtection="1">
      <alignment horizontal="center" vertical="center" wrapText="1"/>
    </xf>
    <xf numFmtId="0" fontId="1" fillId="0" borderId="4" xfId="1" applyFill="1" applyBorder="1" applyAlignment="1" applyProtection="1">
      <alignment horizontal="center" vertical="center" wrapText="1"/>
    </xf>
    <xf numFmtId="0" fontId="3" fillId="3" borderId="4" xfId="1" applyFont="1" applyFill="1" applyBorder="1" applyAlignment="1" applyProtection="1">
      <alignment horizontal="center" vertical="center" wrapText="1"/>
    </xf>
    <xf numFmtId="0" fontId="1" fillId="0" borderId="7" xfId="1" applyNumberFormat="1" applyFont="1" applyBorder="1" applyAlignment="1" applyProtection="1">
      <alignment horizontal="center" vertical="center"/>
    </xf>
    <xf numFmtId="0" fontId="1" fillId="0" borderId="8" xfId="1" applyNumberFormat="1" applyBorder="1" applyAlignment="1" applyProtection="1">
      <alignment horizontal="center" vertical="center"/>
    </xf>
    <xf numFmtId="0" fontId="1" fillId="0" borderId="13" xfId="1" applyNumberFormat="1" applyBorder="1" applyAlignment="1" applyProtection="1">
      <alignment horizontal="center" vertical="center"/>
    </xf>
    <xf numFmtId="0" fontId="1" fillId="0" borderId="14" xfId="1" applyNumberFormat="1" applyBorder="1" applyAlignment="1" applyProtection="1">
      <alignment horizontal="center" vertical="center"/>
    </xf>
    <xf numFmtId="0" fontId="1" fillId="0" borderId="6" xfId="1" applyNumberFormat="1" applyFont="1" applyBorder="1" applyAlignment="1" applyProtection="1">
      <alignment horizontal="center" vertical="center"/>
    </xf>
    <xf numFmtId="0" fontId="1" fillId="0" borderId="12" xfId="1" applyNumberFormat="1" applyFont="1" applyBorder="1" applyAlignment="1" applyProtection="1">
      <alignment horizontal="center" vertical="center"/>
    </xf>
    <xf numFmtId="2" fontId="1" fillId="0" borderId="7" xfId="1" applyNumberFormat="1" applyBorder="1" applyAlignment="1" applyProtection="1">
      <alignment horizontal="center" vertical="center"/>
    </xf>
    <xf numFmtId="2" fontId="1" fillId="0" borderId="8" xfId="1" applyNumberFormat="1" applyBorder="1" applyAlignment="1" applyProtection="1">
      <alignment horizontal="center" vertical="center"/>
    </xf>
    <xf numFmtId="2" fontId="1" fillId="0" borderId="13" xfId="1" applyNumberFormat="1" applyBorder="1" applyAlignment="1" applyProtection="1">
      <alignment horizontal="center" vertical="center"/>
    </xf>
    <xf numFmtId="2" fontId="1" fillId="0" borderId="14" xfId="1" applyNumberFormat="1" applyBorder="1" applyAlignment="1" applyProtection="1">
      <alignment horizontal="center" vertical="center"/>
    </xf>
    <xf numFmtId="2" fontId="1" fillId="0" borderId="10" xfId="1" applyNumberFormat="1" applyBorder="1" applyAlignment="1" applyProtection="1">
      <alignment horizontal="center" vertical="center"/>
    </xf>
    <xf numFmtId="2" fontId="1" fillId="0" borderId="11" xfId="1" applyNumberFormat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 vertical="center"/>
    </xf>
    <xf numFmtId="0" fontId="7" fillId="0" borderId="9" xfId="1" applyFont="1" applyFill="1" applyBorder="1" applyAlignment="1" applyProtection="1">
      <alignment horizontal="center" vertical="center"/>
    </xf>
    <xf numFmtId="0" fontId="7" fillId="0" borderId="12" xfId="1" applyFont="1" applyFill="1" applyBorder="1" applyAlignment="1" applyProtection="1">
      <alignment horizontal="center" vertical="center"/>
    </xf>
    <xf numFmtId="9" fontId="1" fillId="0" borderId="4" xfId="1" applyNumberFormat="1" applyFont="1" applyFill="1" applyBorder="1" applyAlignment="1" applyProtection="1">
      <alignment horizontal="center" vertical="center"/>
    </xf>
    <xf numFmtId="9" fontId="1" fillId="0" borderId="9" xfId="1" applyNumberFormat="1" applyFont="1" applyFill="1" applyBorder="1" applyAlignment="1" applyProtection="1">
      <alignment horizontal="center" vertical="center" textRotation="45"/>
    </xf>
    <xf numFmtId="9" fontId="1" fillId="0" borderId="12" xfId="1" applyNumberFormat="1" applyFont="1" applyFill="1" applyBorder="1" applyAlignment="1" applyProtection="1">
      <alignment horizontal="center" vertical="center" textRotation="45"/>
    </xf>
    <xf numFmtId="2" fontId="9" fillId="0" borderId="7" xfId="1" applyNumberFormat="1" applyFont="1" applyBorder="1" applyAlignment="1" applyProtection="1">
      <alignment horizontal="center" vertical="center"/>
    </xf>
    <xf numFmtId="2" fontId="9" fillId="0" borderId="5" xfId="1" applyNumberFormat="1" applyFont="1" applyBorder="1" applyAlignment="1" applyProtection="1">
      <alignment horizontal="center" vertical="center"/>
    </xf>
    <xf numFmtId="2" fontId="9" fillId="0" borderId="8" xfId="1" applyNumberFormat="1" applyFont="1" applyBorder="1" applyAlignment="1" applyProtection="1">
      <alignment horizontal="center" vertical="center"/>
    </xf>
    <xf numFmtId="2" fontId="9" fillId="0" borderId="10" xfId="1" applyNumberFormat="1" applyFont="1" applyBorder="1" applyAlignment="1" applyProtection="1">
      <alignment horizontal="center" vertical="center"/>
    </xf>
    <xf numFmtId="2" fontId="9" fillId="0" borderId="0" xfId="1" applyNumberFormat="1" applyFont="1" applyBorder="1" applyAlignment="1" applyProtection="1">
      <alignment horizontal="center" vertical="center"/>
    </xf>
    <xf numFmtId="2" fontId="9" fillId="0" borderId="11" xfId="1" applyNumberFormat="1" applyFont="1" applyBorder="1" applyAlignment="1" applyProtection="1">
      <alignment horizontal="center" vertical="center"/>
    </xf>
    <xf numFmtId="2" fontId="9" fillId="0" borderId="13" xfId="1" applyNumberFormat="1" applyFont="1" applyBorder="1" applyAlignment="1" applyProtection="1">
      <alignment horizontal="center" vertical="center"/>
    </xf>
    <xf numFmtId="2" fontId="9" fillId="0" borderId="15" xfId="1" applyNumberFormat="1" applyFont="1" applyBorder="1" applyAlignment="1" applyProtection="1">
      <alignment horizontal="center" vertical="center"/>
    </xf>
    <xf numFmtId="2" fontId="9" fillId="0" borderId="14" xfId="1" applyNumberFormat="1" applyFont="1" applyBorder="1" applyAlignment="1" applyProtection="1">
      <alignment horizontal="center" vertical="center"/>
    </xf>
    <xf numFmtId="9" fontId="1" fillId="0" borderId="10" xfId="1" applyNumberFormat="1" applyFont="1" applyFill="1" applyBorder="1" applyAlignment="1" applyProtection="1">
      <alignment horizontal="center" vertical="center" textRotation="45"/>
    </xf>
    <xf numFmtId="9" fontId="1" fillId="0" borderId="11" xfId="1" applyNumberFormat="1" applyFont="1" applyFill="1" applyBorder="1" applyAlignment="1" applyProtection="1">
      <alignment horizontal="center" vertical="center" textRotation="45"/>
    </xf>
    <xf numFmtId="9" fontId="1" fillId="0" borderId="13" xfId="1" applyNumberFormat="1" applyFont="1" applyFill="1" applyBorder="1" applyAlignment="1" applyProtection="1">
      <alignment horizontal="center" vertical="center" textRotation="45"/>
    </xf>
    <xf numFmtId="9" fontId="1" fillId="0" borderId="14" xfId="1" applyNumberFormat="1" applyFont="1" applyFill="1" applyBorder="1" applyAlignment="1" applyProtection="1">
      <alignment horizontal="center" vertical="center" textRotation="45"/>
    </xf>
    <xf numFmtId="10" fontId="7" fillId="0" borderId="1" xfId="1" applyNumberFormat="1" applyFont="1" applyFill="1" applyBorder="1" applyAlignment="1" applyProtection="1">
      <alignment horizontal="center"/>
    </xf>
    <xf numFmtId="10" fontId="7" fillId="0" borderId="3" xfId="1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3" fillId="3" borderId="1" xfId="1" applyFont="1" applyFill="1" applyBorder="1" applyAlignment="1" applyProtection="1">
      <alignment horizontal="center"/>
      <protection locked="0"/>
    </xf>
    <xf numFmtId="0" fontId="3" fillId="3" borderId="3" xfId="1" applyFont="1" applyFill="1" applyBorder="1" applyAlignment="1" applyProtection="1">
      <alignment horizontal="center"/>
      <protection locked="0"/>
    </xf>
    <xf numFmtId="0" fontId="12" fillId="4" borderId="4" xfId="1" applyFont="1" applyFill="1" applyBorder="1" applyAlignment="1">
      <alignment horizontal="center" vertical="center" textRotation="90"/>
    </xf>
    <xf numFmtId="10" fontId="7" fillId="0" borderId="1" xfId="1" applyNumberFormat="1" applyFont="1" applyFill="1" applyBorder="1" applyAlignment="1" applyProtection="1">
      <alignment horizontal="center"/>
      <protection locked="0"/>
    </xf>
    <xf numFmtId="10" fontId="7" fillId="0" borderId="3" xfId="1" applyNumberFormat="1" applyFont="1" applyFill="1" applyBorder="1" applyAlignment="1" applyProtection="1">
      <alignment horizontal="center"/>
      <protection locked="0"/>
    </xf>
    <xf numFmtId="0" fontId="7" fillId="0" borderId="7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1" fontId="1" fillId="0" borderId="9" xfId="1" applyNumberFormat="1" applyFill="1" applyBorder="1" applyAlignment="1">
      <alignment horizontal="center" vertical="center"/>
    </xf>
    <xf numFmtId="2" fontId="1" fillId="9" borderId="7" xfId="1" applyNumberFormat="1" applyFill="1" applyBorder="1" applyAlignment="1">
      <alignment horizontal="center" vertical="center"/>
    </xf>
    <xf numFmtId="2" fontId="1" fillId="9" borderId="8" xfId="1" applyNumberFormat="1" applyFill="1" applyBorder="1" applyAlignment="1">
      <alignment horizontal="center" vertical="center"/>
    </xf>
    <xf numFmtId="2" fontId="1" fillId="9" borderId="10" xfId="1" applyNumberFormat="1" applyFill="1" applyBorder="1" applyAlignment="1">
      <alignment horizontal="center" vertical="center"/>
    </xf>
    <xf numFmtId="2" fontId="1" fillId="9" borderId="11" xfId="1" applyNumberFormat="1" applyFill="1" applyBorder="1" applyAlignment="1">
      <alignment horizontal="center" vertical="center"/>
    </xf>
    <xf numFmtId="2" fontId="1" fillId="9" borderId="13" xfId="1" applyNumberFormat="1" applyFill="1" applyBorder="1" applyAlignment="1">
      <alignment horizontal="center" vertical="center"/>
    </xf>
    <xf numFmtId="2" fontId="1" fillId="9" borderId="14" xfId="1" applyNumberFormat="1" applyFill="1" applyBorder="1" applyAlignment="1">
      <alignment horizontal="center" vertical="center"/>
    </xf>
    <xf numFmtId="10" fontId="7" fillId="0" borderId="1" xfId="1" applyNumberFormat="1" applyFont="1" applyFill="1" applyBorder="1" applyAlignment="1">
      <alignment horizontal="center"/>
    </xf>
    <xf numFmtId="10" fontId="7" fillId="0" borderId="3" xfId="1" applyNumberFormat="1" applyFont="1" applyFill="1" applyBorder="1" applyAlignment="1">
      <alignment horizontal="center"/>
    </xf>
    <xf numFmtId="9" fontId="1" fillId="0" borderId="4" xfId="1" applyNumberForma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/>
    </xf>
    <xf numFmtId="1" fontId="7" fillId="0" borderId="3" xfId="1" applyNumberFormat="1" applyFont="1" applyFill="1" applyBorder="1" applyAlignment="1">
      <alignment horizontal="center"/>
    </xf>
    <xf numFmtId="0" fontId="12" fillId="5" borderId="4" xfId="1" applyFont="1" applyFill="1" applyBorder="1" applyAlignment="1">
      <alignment horizontal="center" vertical="center" textRotation="90"/>
    </xf>
    <xf numFmtId="164" fontId="7" fillId="0" borderId="6" xfId="1" applyNumberFormat="1" applyFont="1" applyFill="1" applyBorder="1" applyAlignment="1" applyProtection="1">
      <alignment horizontal="center" vertical="center"/>
      <protection locked="0"/>
    </xf>
    <xf numFmtId="164" fontId="7" fillId="0" borderId="9" xfId="1" applyNumberFormat="1" applyFont="1" applyFill="1" applyBorder="1" applyAlignment="1" applyProtection="1">
      <alignment horizontal="center" vertical="center"/>
      <protection locked="0"/>
    </xf>
    <xf numFmtId="164" fontId="7" fillId="0" borderId="12" xfId="1" applyNumberFormat="1" applyFont="1" applyFill="1" applyBorder="1" applyAlignment="1" applyProtection="1">
      <alignment horizontal="center" vertical="center"/>
      <protection locked="0"/>
    </xf>
    <xf numFmtId="0" fontId="1" fillId="0" borderId="6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10" fontId="7" fillId="0" borderId="4" xfId="1" applyNumberFormat="1" applyFont="1" applyFill="1" applyBorder="1" applyAlignment="1" applyProtection="1">
      <alignment horizontal="center"/>
    </xf>
    <xf numFmtId="0" fontId="12" fillId="8" borderId="4" xfId="1" applyFont="1" applyFill="1" applyBorder="1" applyAlignment="1">
      <alignment horizontal="center" vertical="center" textRotation="90"/>
    </xf>
    <xf numFmtId="2" fontId="7" fillId="0" borderId="4" xfId="1" applyNumberFormat="1" applyFont="1" applyFill="1" applyBorder="1" applyAlignment="1" applyProtection="1">
      <alignment horizontal="center"/>
    </xf>
    <xf numFmtId="1" fontId="7" fillId="0" borderId="1" xfId="1" applyNumberFormat="1" applyFont="1" applyFill="1" applyBorder="1" applyAlignment="1" applyProtection="1">
      <alignment horizontal="center" vertical="center"/>
    </xf>
    <xf numFmtId="1" fontId="7" fillId="0" borderId="3" xfId="1" applyNumberFormat="1" applyFont="1" applyFill="1" applyBorder="1" applyAlignment="1" applyProtection="1">
      <alignment horizontal="center" vertical="center"/>
    </xf>
    <xf numFmtId="0" fontId="1" fillId="0" borderId="4" xfId="1" applyFont="1" applyFill="1" applyBorder="1" applyAlignment="1">
      <alignment horizontal="center" vertical="center" wrapText="1"/>
    </xf>
    <xf numFmtId="0" fontId="1" fillId="0" borderId="4" xfId="1" applyFill="1" applyBorder="1" applyAlignment="1">
      <alignment horizontal="center" vertical="center" wrapText="1"/>
    </xf>
    <xf numFmtId="49" fontId="0" fillId="0" borderId="7" xfId="1" applyNumberFormat="1" applyFont="1" applyBorder="1" applyAlignment="1" applyProtection="1">
      <alignment horizontal="center" vertical="center"/>
      <protection locked="0"/>
    </xf>
    <xf numFmtId="49" fontId="1" fillId="0" borderId="8" xfId="1" applyNumberFormat="1" applyBorder="1" applyAlignment="1" applyProtection="1">
      <alignment horizontal="center" vertical="center"/>
      <protection locked="0"/>
    </xf>
    <xf numFmtId="49" fontId="1" fillId="0" borderId="13" xfId="1" applyNumberFormat="1" applyBorder="1" applyAlignment="1" applyProtection="1">
      <alignment horizontal="center" vertical="center"/>
      <protection locked="0"/>
    </xf>
    <xf numFmtId="49" fontId="1" fillId="0" borderId="14" xfId="1" applyNumberFormat="1" applyBorder="1" applyAlignment="1" applyProtection="1">
      <alignment horizontal="center" vertical="center"/>
      <protection locked="0"/>
    </xf>
    <xf numFmtId="0" fontId="1" fillId="0" borderId="6" xfId="1" applyNumberFormat="1" applyFont="1" applyBorder="1" applyAlignment="1">
      <alignment horizontal="center" vertical="center"/>
    </xf>
    <xf numFmtId="0" fontId="1" fillId="0" borderId="12" xfId="1" applyNumberFormat="1" applyFont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2" fontId="1" fillId="9" borderId="4" xfId="1" applyNumberFormat="1" applyFill="1" applyBorder="1" applyAlignment="1">
      <alignment horizontal="center" vertical="center"/>
    </xf>
    <xf numFmtId="0" fontId="3" fillId="3" borderId="4" xfId="1" applyFont="1" applyFill="1" applyBorder="1" applyAlignment="1" applyProtection="1">
      <alignment horizontal="center"/>
      <protection locked="0"/>
    </xf>
    <xf numFmtId="10" fontId="7" fillId="0" borderId="4" xfId="1" applyNumberFormat="1" applyFont="1" applyFill="1" applyBorder="1" applyAlignment="1" applyProtection="1">
      <alignment horizontal="center" vertical="center"/>
      <protection locked="0"/>
    </xf>
    <xf numFmtId="10" fontId="7" fillId="0" borderId="6" xfId="1" applyNumberFormat="1" applyFont="1" applyFill="1" applyBorder="1" applyAlignment="1" applyProtection="1">
      <alignment horizontal="center" vertical="center"/>
    </xf>
    <xf numFmtId="10" fontId="7" fillId="0" borderId="9" xfId="1" applyNumberFormat="1" applyFont="1" applyFill="1" applyBorder="1" applyAlignment="1" applyProtection="1">
      <alignment horizontal="center" vertical="center"/>
    </xf>
    <xf numFmtId="10" fontId="7" fillId="0" borderId="12" xfId="1" applyNumberFormat="1" applyFont="1" applyFill="1" applyBorder="1" applyAlignment="1" applyProtection="1">
      <alignment horizontal="center" vertical="center"/>
    </xf>
    <xf numFmtId="10" fontId="7" fillId="0" borderId="4" xfId="1" applyNumberFormat="1" applyFont="1" applyFill="1" applyBorder="1" applyAlignment="1" applyProtection="1">
      <alignment horizontal="center"/>
      <protection locked="0"/>
    </xf>
    <xf numFmtId="0" fontId="6" fillId="7" borderId="4" xfId="1" applyFont="1" applyFill="1" applyBorder="1" applyAlignment="1">
      <alignment horizontal="center" vertical="center" textRotation="90"/>
    </xf>
    <xf numFmtId="2" fontId="9" fillId="0" borderId="7" xfId="1" applyNumberFormat="1" applyFont="1" applyBorder="1" applyAlignment="1">
      <alignment horizontal="center" vertical="center"/>
    </xf>
    <xf numFmtId="2" fontId="9" fillId="0" borderId="5" xfId="1" applyNumberFormat="1" applyFont="1" applyBorder="1" applyAlignment="1">
      <alignment horizontal="center" vertical="center"/>
    </xf>
    <xf numFmtId="2" fontId="9" fillId="0" borderId="8" xfId="1" applyNumberFormat="1" applyFont="1" applyBorder="1" applyAlignment="1">
      <alignment horizontal="center" vertical="center"/>
    </xf>
    <xf numFmtId="2" fontId="9" fillId="0" borderId="10" xfId="1" applyNumberFormat="1" applyFont="1" applyBorder="1" applyAlignment="1">
      <alignment horizontal="center" vertical="center"/>
    </xf>
    <xf numFmtId="2" fontId="9" fillId="0" borderId="0" xfId="1" applyNumberFormat="1" applyFont="1" applyBorder="1" applyAlignment="1">
      <alignment horizontal="center" vertical="center"/>
    </xf>
    <xf numFmtId="2" fontId="9" fillId="0" borderId="11" xfId="1" applyNumberFormat="1" applyFont="1" applyBorder="1" applyAlignment="1">
      <alignment horizontal="center" vertical="center"/>
    </xf>
    <xf numFmtId="2" fontId="9" fillId="0" borderId="13" xfId="1" applyNumberFormat="1" applyFont="1" applyBorder="1" applyAlignment="1">
      <alignment horizontal="center" vertical="center"/>
    </xf>
    <xf numFmtId="2" fontId="9" fillId="0" borderId="15" xfId="1" applyNumberFormat="1" applyFont="1" applyBorder="1" applyAlignment="1">
      <alignment horizontal="center" vertical="center"/>
    </xf>
    <xf numFmtId="2" fontId="9" fillId="0" borderId="14" xfId="1" applyNumberFormat="1" applyFont="1" applyBorder="1" applyAlignment="1">
      <alignment horizontal="center" vertical="center"/>
    </xf>
    <xf numFmtId="9" fontId="1" fillId="0" borderId="6" xfId="1" applyNumberFormat="1" applyFont="1" applyFill="1" applyBorder="1" applyAlignment="1">
      <alignment horizontal="center" vertical="center"/>
    </xf>
    <xf numFmtId="9" fontId="1" fillId="0" borderId="9" xfId="1" applyNumberFormat="1" applyFont="1" applyFill="1" applyBorder="1" applyAlignment="1">
      <alignment horizontal="center" vertical="center"/>
    </xf>
    <xf numFmtId="9" fontId="1" fillId="0" borderId="12" xfId="1" applyNumberFormat="1" applyFont="1" applyFill="1" applyBorder="1" applyAlignment="1">
      <alignment horizontal="center" vertical="center"/>
    </xf>
    <xf numFmtId="9" fontId="1" fillId="0" borderId="6" xfId="1" applyNumberFormat="1" applyFont="1" applyFill="1" applyBorder="1" applyAlignment="1">
      <alignment horizontal="center" vertical="center" textRotation="45"/>
    </xf>
    <xf numFmtId="9" fontId="1" fillId="0" borderId="9" xfId="1" applyNumberFormat="1" applyFont="1" applyFill="1" applyBorder="1" applyAlignment="1">
      <alignment horizontal="center" vertical="center" textRotation="45"/>
    </xf>
    <xf numFmtId="9" fontId="1" fillId="0" borderId="12" xfId="1" applyNumberFormat="1" applyFont="1" applyFill="1" applyBorder="1" applyAlignment="1">
      <alignment horizontal="center" vertical="center" textRotation="45"/>
    </xf>
    <xf numFmtId="9" fontId="1" fillId="0" borderId="7" xfId="1" applyNumberFormat="1" applyFont="1" applyFill="1" applyBorder="1" applyAlignment="1">
      <alignment horizontal="center" vertical="center" textRotation="45"/>
    </xf>
    <xf numFmtId="9" fontId="1" fillId="0" borderId="8" xfId="1" applyNumberFormat="1" applyFont="1" applyFill="1" applyBorder="1" applyAlignment="1">
      <alignment horizontal="center" vertical="center" textRotation="45"/>
    </xf>
    <xf numFmtId="9" fontId="1" fillId="0" borderId="10" xfId="1" applyNumberFormat="1" applyFont="1" applyFill="1" applyBorder="1" applyAlignment="1">
      <alignment horizontal="center" vertical="center" textRotation="45"/>
    </xf>
    <xf numFmtId="9" fontId="1" fillId="0" borderId="11" xfId="1" applyNumberFormat="1" applyFont="1" applyFill="1" applyBorder="1" applyAlignment="1">
      <alignment horizontal="center" vertical="center" textRotation="45"/>
    </xf>
    <xf numFmtId="9" fontId="1" fillId="0" borderId="13" xfId="1" applyNumberFormat="1" applyFont="1" applyFill="1" applyBorder="1" applyAlignment="1">
      <alignment horizontal="center" vertical="center" textRotation="45"/>
    </xf>
    <xf numFmtId="9" fontId="1" fillId="0" borderId="14" xfId="1" applyNumberFormat="1" applyFont="1" applyFill="1" applyBorder="1" applyAlignment="1">
      <alignment horizontal="center" vertical="center" textRotation="45"/>
    </xf>
    <xf numFmtId="0" fontId="3" fillId="3" borderId="6" xfId="1" applyFont="1" applyFill="1" applyBorder="1" applyAlignment="1" applyProtection="1">
      <alignment horizontal="center" vertical="center"/>
      <protection locked="0"/>
    </xf>
    <xf numFmtId="0" fontId="3" fillId="3" borderId="12" xfId="1" applyFont="1" applyFill="1" applyBorder="1" applyAlignment="1" applyProtection="1">
      <alignment horizontal="center" vertical="center"/>
      <protection locked="0"/>
    </xf>
    <xf numFmtId="164" fontId="1" fillId="0" borderId="6" xfId="1" applyNumberFormat="1" applyFont="1" applyFill="1" applyBorder="1" applyAlignment="1" applyProtection="1">
      <alignment horizontal="center" vertical="center"/>
      <protection locked="0"/>
    </xf>
    <xf numFmtId="164" fontId="1" fillId="0" borderId="12" xfId="1" applyNumberFormat="1" applyFont="1" applyFill="1" applyBorder="1" applyAlignment="1" applyProtection="1">
      <alignment horizontal="center" vertical="center"/>
      <protection locked="0"/>
    </xf>
    <xf numFmtId="0" fontId="2" fillId="4" borderId="4" xfId="1" applyFont="1" applyFill="1" applyBorder="1" applyAlignment="1" applyProtection="1">
      <alignment horizontal="center" vertical="center" wrapText="1"/>
    </xf>
    <xf numFmtId="0" fontId="12" fillId="4" borderId="6" xfId="1" applyFont="1" applyFill="1" applyBorder="1" applyAlignment="1" applyProtection="1">
      <alignment horizontal="center" vertical="center" textRotation="90"/>
    </xf>
    <xf numFmtId="0" fontId="12" fillId="4" borderId="9" xfId="1" applyFont="1" applyFill="1" applyBorder="1" applyAlignment="1" applyProtection="1">
      <alignment horizontal="center" vertical="center" textRotation="90"/>
    </xf>
    <xf numFmtId="0" fontId="12" fillId="4" borderId="12" xfId="1" applyFont="1" applyFill="1" applyBorder="1" applyAlignment="1" applyProtection="1">
      <alignment horizontal="center" vertical="center" textRotation="90"/>
    </xf>
    <xf numFmtId="0" fontId="12" fillId="0" borderId="0" xfId="1" applyFont="1" applyFill="1" applyBorder="1" applyAlignment="1" applyProtection="1">
      <alignment vertical="center" textRotation="90"/>
    </xf>
    <xf numFmtId="0" fontId="12" fillId="5" borderId="6" xfId="1" applyFont="1" applyFill="1" applyBorder="1" applyAlignment="1" applyProtection="1">
      <alignment horizontal="center" vertical="center" textRotation="90"/>
    </xf>
    <xf numFmtId="0" fontId="12" fillId="5" borderId="9" xfId="1" applyFont="1" applyFill="1" applyBorder="1" applyAlignment="1" applyProtection="1">
      <alignment horizontal="center" vertical="center" textRotation="90"/>
    </xf>
    <xf numFmtId="0" fontId="12" fillId="5" borderId="12" xfId="1" applyFont="1" applyFill="1" applyBorder="1" applyAlignment="1" applyProtection="1">
      <alignment horizontal="center" vertical="center" textRotation="90"/>
    </xf>
    <xf numFmtId="0" fontId="12" fillId="0" borderId="0" xfId="1" applyFont="1" applyFill="1" applyBorder="1" applyAlignment="1" applyProtection="1">
      <alignment horizontal="center" vertical="center" textRotation="90"/>
    </xf>
    <xf numFmtId="0" fontId="12" fillId="6" borderId="4" xfId="1" applyFont="1" applyFill="1" applyBorder="1" applyAlignment="1" applyProtection="1">
      <alignment horizontal="center" vertical="center" textRotation="90"/>
    </xf>
    <xf numFmtId="0" fontId="12" fillId="7" borderId="4" xfId="1" applyFont="1" applyFill="1" applyBorder="1" applyAlignment="1" applyProtection="1">
      <alignment horizontal="center" vertical="center" textRotation="90"/>
    </xf>
    <xf numFmtId="0" fontId="12" fillId="8" borderId="6" xfId="1" applyFont="1" applyFill="1" applyBorder="1" applyAlignment="1" applyProtection="1">
      <alignment horizontal="center" vertical="center" textRotation="90"/>
    </xf>
    <xf numFmtId="0" fontId="12" fillId="8" borderId="9" xfId="1" applyFont="1" applyFill="1" applyBorder="1" applyAlignment="1" applyProtection="1">
      <alignment horizontal="center" vertical="center" textRotation="90"/>
    </xf>
    <xf numFmtId="0" fontId="12" fillId="8" borderId="12" xfId="1" applyFont="1" applyFill="1" applyBorder="1" applyAlignment="1" applyProtection="1">
      <alignment horizontal="center" vertical="center" textRotation="90"/>
    </xf>
    <xf numFmtId="0" fontId="2" fillId="8" borderId="7" xfId="1" applyFont="1" applyFill="1" applyBorder="1" applyAlignment="1" applyProtection="1">
      <alignment horizontal="center" vertical="center" wrapText="1"/>
    </xf>
    <xf numFmtId="0" fontId="2" fillId="8" borderId="8" xfId="1" applyFont="1" applyFill="1" applyBorder="1" applyAlignment="1" applyProtection="1">
      <alignment horizontal="center" vertical="center" wrapText="1"/>
    </xf>
    <xf numFmtId="0" fontId="2" fillId="8" borderId="10" xfId="1" applyFont="1" applyFill="1" applyBorder="1" applyAlignment="1" applyProtection="1">
      <alignment horizontal="center" vertical="center" wrapText="1"/>
    </xf>
    <xf numFmtId="0" fontId="2" fillId="8" borderId="11" xfId="1" applyFont="1" applyFill="1" applyBorder="1" applyAlignment="1" applyProtection="1">
      <alignment horizontal="center" vertical="center" wrapText="1"/>
    </xf>
    <xf numFmtId="0" fontId="2" fillId="8" borderId="13" xfId="1" applyFont="1" applyFill="1" applyBorder="1" applyAlignment="1" applyProtection="1">
      <alignment horizontal="center" vertical="center" wrapText="1"/>
    </xf>
    <xf numFmtId="0" fontId="2" fillId="8" borderId="14" xfId="1" applyFont="1" applyFill="1" applyBorder="1" applyAlignment="1" applyProtection="1">
      <alignment horizontal="center" vertical="center" wrapText="1"/>
    </xf>
    <xf numFmtId="0" fontId="2" fillId="8" borderId="4" xfId="1" applyFont="1" applyFill="1" applyBorder="1" applyAlignment="1" applyProtection="1">
      <alignment horizontal="center" vertical="center" wrapText="1"/>
    </xf>
    <xf numFmtId="0" fontId="2" fillId="5" borderId="7" xfId="1" applyFont="1" applyFill="1" applyBorder="1" applyAlignment="1" applyProtection="1">
      <alignment horizontal="center" vertical="center" wrapText="1"/>
    </xf>
    <xf numFmtId="0" fontId="2" fillId="5" borderId="8" xfId="1" applyFont="1" applyFill="1" applyBorder="1" applyAlignment="1" applyProtection="1">
      <alignment horizontal="center" vertical="center" wrapText="1"/>
    </xf>
    <xf numFmtId="0" fontId="2" fillId="5" borderId="10" xfId="1" applyFont="1" applyFill="1" applyBorder="1" applyAlignment="1" applyProtection="1">
      <alignment horizontal="center" vertical="center" wrapText="1"/>
    </xf>
    <xf numFmtId="0" fontId="2" fillId="5" borderId="11" xfId="1" applyFont="1" applyFill="1" applyBorder="1" applyAlignment="1" applyProtection="1">
      <alignment horizontal="center" vertical="center" wrapText="1"/>
    </xf>
    <xf numFmtId="0" fontId="2" fillId="5" borderId="13" xfId="1" applyFont="1" applyFill="1" applyBorder="1" applyAlignment="1" applyProtection="1">
      <alignment horizontal="center" vertical="center" wrapText="1"/>
    </xf>
    <xf numFmtId="0" fontId="2" fillId="5" borderId="14" xfId="1" applyFont="1" applyFill="1" applyBorder="1" applyAlignment="1" applyProtection="1">
      <alignment horizontal="center" vertical="center" wrapText="1"/>
    </xf>
    <xf numFmtId="0" fontId="2" fillId="6" borderId="7" xfId="1" applyFont="1" applyFill="1" applyBorder="1" applyAlignment="1" applyProtection="1">
      <alignment horizontal="center" vertical="center" wrapText="1"/>
    </xf>
    <xf numFmtId="0" fontId="2" fillId="6" borderId="8" xfId="1" applyFont="1" applyFill="1" applyBorder="1" applyAlignment="1" applyProtection="1">
      <alignment horizontal="center" vertical="center" wrapText="1"/>
    </xf>
    <xf numFmtId="0" fontId="2" fillId="6" borderId="10" xfId="1" applyFont="1" applyFill="1" applyBorder="1" applyAlignment="1" applyProtection="1">
      <alignment horizontal="center" vertical="center" wrapText="1"/>
    </xf>
    <xf numFmtId="0" fontId="2" fillId="6" borderId="11" xfId="1" applyFont="1" applyFill="1" applyBorder="1" applyAlignment="1" applyProtection="1">
      <alignment horizontal="center" vertical="center" wrapText="1"/>
    </xf>
    <xf numFmtId="0" fontId="2" fillId="6" borderId="13" xfId="1" applyFont="1" applyFill="1" applyBorder="1" applyAlignment="1" applyProtection="1">
      <alignment horizontal="center" vertical="center" wrapText="1"/>
    </xf>
    <xf numFmtId="0" fontId="2" fillId="6" borderId="14" xfId="1" applyFont="1" applyFill="1" applyBorder="1" applyAlignment="1" applyProtection="1">
      <alignment horizontal="center" vertical="center" wrapText="1"/>
    </xf>
    <xf numFmtId="0" fontId="2" fillId="6" borderId="4" xfId="1" applyFont="1" applyFill="1" applyBorder="1" applyAlignment="1" applyProtection="1">
      <alignment horizontal="center" vertical="center" wrapText="1"/>
    </xf>
    <xf numFmtId="9" fontId="1" fillId="0" borderId="7" xfId="1" applyNumberFormat="1" applyFont="1" applyFill="1" applyBorder="1" applyAlignment="1" applyProtection="1">
      <alignment horizontal="center" vertical="center" textRotation="45"/>
    </xf>
    <xf numFmtId="9" fontId="1" fillId="0" borderId="8" xfId="1" applyNumberFormat="1" applyFont="1" applyFill="1" applyBorder="1" applyAlignment="1" applyProtection="1">
      <alignment horizontal="center" vertical="center" textRotation="45"/>
    </xf>
  </cellXfs>
  <cellStyles count="4">
    <cellStyle name="Normal" xfId="0" builtinId="0"/>
    <cellStyle name="Normal 2" xfId="1"/>
    <cellStyle name="Normal 3" xfId="2"/>
    <cellStyle name="Percent" xfId="3" builtinId="5"/>
  </cellStyles>
  <dxfs count="2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439707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C78697-08A9-BB42-87BA-AD5DC5DD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773908" cy="6918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773908" cy="6918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773908" cy="6918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227774</xdr:colOff>
      <xdr:row>0</xdr:row>
      <xdr:rowOff>179294</xdr:rowOff>
    </xdr:from>
    <xdr:to>
      <xdr:col>4</xdr:col>
      <xdr:colOff>506382</xdr:colOff>
      <xdr:row>4</xdr:row>
      <xdr:rowOff>109110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AEF47-6877-4E88-BD35-D0E7E81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24" y="179294"/>
          <a:ext cx="840583" cy="691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2:P63"/>
  <sheetViews>
    <sheetView tabSelected="1" topLeftCell="A20" zoomScaleNormal="100" workbookViewId="0">
      <selection activeCell="M36" sqref="M36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11" width="9.1406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6384" width="10.140625" style="2"/>
  </cols>
  <sheetData>
    <row r="2" spans="1:16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16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16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16" ht="15" customHeight="1" x14ac:dyDescent="0.25">
      <c r="A5" s="1"/>
      <c r="B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5" customHeight="1" x14ac:dyDescent="0.25">
      <c r="A6" s="1"/>
      <c r="B6" s="3"/>
      <c r="C6" s="3"/>
      <c r="D6" s="114" t="s">
        <v>70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6"/>
    </row>
    <row r="7" spans="1:16" ht="6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</row>
    <row r="8" spans="1:16" ht="16.5" customHeight="1" x14ac:dyDescent="0.25">
      <c r="A8" s="1"/>
      <c r="B8" s="1"/>
      <c r="C8" s="1"/>
      <c r="D8" s="114" t="s">
        <v>5</v>
      </c>
      <c r="E8" s="116"/>
      <c r="F8" s="1"/>
      <c r="G8" s="9" t="s">
        <v>6</v>
      </c>
      <c r="H8" s="1"/>
      <c r="I8" s="117" t="s">
        <v>71</v>
      </c>
      <c r="J8" s="117"/>
      <c r="K8" s="117"/>
      <c r="L8" s="1"/>
      <c r="M8" s="9" t="s">
        <v>8</v>
      </c>
      <c r="O8" s="118" t="s">
        <v>9</v>
      </c>
      <c r="P8" s="119"/>
    </row>
    <row r="9" spans="1:16" ht="15" customHeight="1" x14ac:dyDescent="0.25">
      <c r="A9" s="1"/>
      <c r="B9" s="10" t="s">
        <v>10</v>
      </c>
      <c r="C9" s="1"/>
      <c r="D9" s="1"/>
      <c r="E9" s="11"/>
      <c r="F9" s="1"/>
      <c r="G9" s="1"/>
      <c r="H9" s="1"/>
      <c r="I9" s="1"/>
      <c r="J9" s="1"/>
      <c r="K9" s="1"/>
      <c r="L9" s="1"/>
    </row>
    <row r="10" spans="1:16" ht="15" customHeight="1" x14ac:dyDescent="0.25">
      <c r="A10" s="1"/>
      <c r="B10" s="97" t="s">
        <v>11</v>
      </c>
      <c r="C10" s="1"/>
      <c r="D10" s="100" t="s">
        <v>107</v>
      </c>
      <c r="E10" s="100"/>
      <c r="F10" s="12"/>
      <c r="G10" s="101">
        <v>0.1</v>
      </c>
      <c r="H10" s="1"/>
      <c r="I10" s="104" t="s">
        <v>120</v>
      </c>
      <c r="J10" s="105"/>
      <c r="K10" s="106"/>
      <c r="L10" s="1"/>
      <c r="M10" s="40">
        <v>100</v>
      </c>
      <c r="O10" s="107">
        <f>M10*$G$10</f>
        <v>10</v>
      </c>
      <c r="P10" s="108"/>
    </row>
    <row r="11" spans="1:16" ht="15" customHeight="1" x14ac:dyDescent="0.25">
      <c r="A11" s="1"/>
      <c r="B11" s="98"/>
      <c r="C11" s="1"/>
      <c r="D11" s="100"/>
      <c r="E11" s="100"/>
      <c r="F11" s="12"/>
      <c r="G11" s="102"/>
      <c r="H11" s="1"/>
      <c r="I11" s="109" t="s">
        <v>109</v>
      </c>
      <c r="J11" s="105"/>
      <c r="K11" s="106"/>
      <c r="L11" s="1"/>
      <c r="M11" s="40">
        <v>66</v>
      </c>
      <c r="O11" s="107">
        <f t="shared" ref="O11:O13" si="0">M11*$G$10</f>
        <v>6.6000000000000005</v>
      </c>
      <c r="P11" s="108"/>
    </row>
    <row r="12" spans="1:16" ht="15" customHeight="1" x14ac:dyDescent="0.25">
      <c r="A12" s="1"/>
      <c r="B12" s="98"/>
      <c r="C12" s="1"/>
      <c r="D12" s="100"/>
      <c r="E12" s="100"/>
      <c r="F12" s="12"/>
      <c r="G12" s="102"/>
      <c r="H12" s="1"/>
      <c r="I12" s="109" t="s">
        <v>110</v>
      </c>
      <c r="J12" s="105"/>
      <c r="K12" s="106"/>
      <c r="L12" s="1"/>
      <c r="M12" s="40">
        <v>33</v>
      </c>
      <c r="O12" s="107">
        <f t="shared" si="0"/>
        <v>3.3000000000000003</v>
      </c>
      <c r="P12" s="108"/>
    </row>
    <row r="13" spans="1:16" x14ac:dyDescent="0.25">
      <c r="B13" s="98"/>
      <c r="D13" s="100"/>
      <c r="E13" s="100"/>
      <c r="F13" s="12"/>
      <c r="G13" s="103"/>
      <c r="I13" s="109" t="s">
        <v>121</v>
      </c>
      <c r="J13" s="105"/>
      <c r="K13" s="106"/>
      <c r="M13" s="41">
        <v>0</v>
      </c>
      <c r="O13" s="107">
        <f t="shared" si="0"/>
        <v>0</v>
      </c>
      <c r="P13" s="108"/>
    </row>
    <row r="14" spans="1:16" x14ac:dyDescent="0.25">
      <c r="B14" s="98"/>
      <c r="J14" s="14"/>
      <c r="K14" s="14"/>
    </row>
    <row r="15" spans="1:16" ht="15" customHeight="1" x14ac:dyDescent="0.25">
      <c r="B15" s="98"/>
      <c r="D15" s="100" t="s">
        <v>122</v>
      </c>
      <c r="E15" s="100"/>
      <c r="G15" s="101">
        <v>0.1</v>
      </c>
      <c r="H15" s="1"/>
      <c r="I15" s="120" t="s">
        <v>72</v>
      </c>
      <c r="J15" s="111"/>
      <c r="K15" s="112"/>
      <c r="L15" s="1"/>
      <c r="M15" s="41">
        <v>100</v>
      </c>
      <c r="O15" s="107">
        <f>M15*$G$15</f>
        <v>10</v>
      </c>
      <c r="P15" s="108"/>
    </row>
    <row r="16" spans="1:16" ht="15" customHeight="1" x14ac:dyDescent="0.25">
      <c r="B16" s="98"/>
      <c r="D16" s="100"/>
      <c r="E16" s="100"/>
      <c r="G16" s="102"/>
      <c r="H16" s="1"/>
      <c r="I16" s="110" t="s">
        <v>73</v>
      </c>
      <c r="J16" s="111"/>
      <c r="K16" s="112"/>
      <c r="L16" s="1"/>
      <c r="M16" s="41">
        <v>66</v>
      </c>
      <c r="O16" s="107">
        <f t="shared" ref="O16:O18" si="1">M16*$G$15</f>
        <v>6.6000000000000005</v>
      </c>
      <c r="P16" s="108"/>
    </row>
    <row r="17" spans="2:16" ht="15" customHeight="1" x14ac:dyDescent="0.25">
      <c r="B17" s="98"/>
      <c r="D17" s="100"/>
      <c r="E17" s="100"/>
      <c r="G17" s="102"/>
      <c r="H17" s="1"/>
      <c r="I17" s="110" t="s">
        <v>74</v>
      </c>
      <c r="J17" s="111"/>
      <c r="K17" s="112"/>
      <c r="L17" s="1"/>
      <c r="M17" s="41">
        <v>33</v>
      </c>
      <c r="O17" s="107">
        <f t="shared" si="1"/>
        <v>3.3000000000000003</v>
      </c>
      <c r="P17" s="108"/>
    </row>
    <row r="18" spans="2:16" x14ac:dyDescent="0.25">
      <c r="B18" s="98"/>
      <c r="D18" s="100"/>
      <c r="E18" s="100"/>
      <c r="G18" s="103"/>
      <c r="H18" s="1"/>
      <c r="I18" s="110" t="s">
        <v>75</v>
      </c>
      <c r="J18" s="111"/>
      <c r="K18" s="112"/>
      <c r="M18" s="41">
        <v>0</v>
      </c>
      <c r="O18" s="107">
        <f t="shared" si="1"/>
        <v>0</v>
      </c>
      <c r="P18" s="108"/>
    </row>
    <row r="19" spans="2:16" x14ac:dyDescent="0.25">
      <c r="B19" s="98"/>
    </row>
    <row r="20" spans="2:16" ht="15" customHeight="1" x14ac:dyDescent="0.25">
      <c r="B20" s="98"/>
      <c r="D20" s="100" t="s">
        <v>111</v>
      </c>
      <c r="E20" s="100"/>
      <c r="G20" s="101">
        <v>0.05</v>
      </c>
      <c r="I20" s="104" t="s">
        <v>112</v>
      </c>
      <c r="J20" s="105"/>
      <c r="K20" s="106"/>
      <c r="L20" s="1"/>
      <c r="M20" s="41">
        <v>100</v>
      </c>
      <c r="O20" s="107">
        <f>M20*$G$20</f>
        <v>5</v>
      </c>
      <c r="P20" s="108"/>
    </row>
    <row r="21" spans="2:16" ht="15" customHeight="1" x14ac:dyDescent="0.25">
      <c r="B21" s="98"/>
      <c r="D21" s="100"/>
      <c r="E21" s="100"/>
      <c r="G21" s="102"/>
      <c r="I21" s="109" t="s">
        <v>123</v>
      </c>
      <c r="J21" s="105"/>
      <c r="K21" s="106"/>
      <c r="L21" s="1"/>
      <c r="M21" s="41">
        <v>66</v>
      </c>
      <c r="O21" s="107">
        <f>M21*$G$20</f>
        <v>3.3000000000000003</v>
      </c>
      <c r="P21" s="108"/>
    </row>
    <row r="22" spans="2:16" ht="15" customHeight="1" x14ac:dyDescent="0.25">
      <c r="B22" s="98"/>
      <c r="D22" s="100"/>
      <c r="E22" s="100"/>
      <c r="G22" s="102"/>
      <c r="I22" s="109" t="s">
        <v>124</v>
      </c>
      <c r="J22" s="105"/>
      <c r="K22" s="106"/>
      <c r="L22" s="1"/>
      <c r="M22" s="41">
        <v>33</v>
      </c>
      <c r="O22" s="107">
        <f>M22*$G$20</f>
        <v>1.6500000000000001</v>
      </c>
      <c r="P22" s="108"/>
    </row>
    <row r="23" spans="2:16" x14ac:dyDescent="0.25">
      <c r="B23" s="99"/>
      <c r="D23" s="100"/>
      <c r="E23" s="100"/>
      <c r="G23" s="103"/>
      <c r="I23" s="109" t="s">
        <v>125</v>
      </c>
      <c r="J23" s="105"/>
      <c r="K23" s="106"/>
      <c r="M23" s="41">
        <v>0</v>
      </c>
      <c r="O23" s="107">
        <f>M23*$G$20</f>
        <v>0</v>
      </c>
      <c r="P23" s="108"/>
    </row>
    <row r="24" spans="2:16" ht="15.75" x14ac:dyDescent="0.25">
      <c r="B24" s="84"/>
    </row>
    <row r="25" spans="2:16" ht="15" customHeight="1" x14ac:dyDescent="0.25">
      <c r="B25" s="121" t="s">
        <v>27</v>
      </c>
      <c r="D25" s="124" t="s">
        <v>28</v>
      </c>
      <c r="E25" s="125"/>
      <c r="F25" s="12"/>
      <c r="G25" s="101">
        <v>0.15</v>
      </c>
      <c r="I25" s="109" t="s">
        <v>127</v>
      </c>
      <c r="J25" s="105"/>
      <c r="K25" s="106"/>
      <c r="M25" s="42">
        <v>100</v>
      </c>
      <c r="O25" s="107">
        <f>M25*$G$25</f>
        <v>15</v>
      </c>
      <c r="P25" s="108"/>
    </row>
    <row r="26" spans="2:16" x14ac:dyDescent="0.25">
      <c r="B26" s="122"/>
      <c r="D26" s="126"/>
      <c r="E26" s="127"/>
      <c r="F26" s="12"/>
      <c r="G26" s="102"/>
      <c r="I26" s="110" t="s">
        <v>128</v>
      </c>
      <c r="J26" s="111"/>
      <c r="K26" s="112"/>
      <c r="M26" s="42">
        <v>66</v>
      </c>
      <c r="O26" s="107">
        <f>M26*$G$25</f>
        <v>9.9</v>
      </c>
      <c r="P26" s="108"/>
    </row>
    <row r="27" spans="2:16" x14ac:dyDescent="0.25">
      <c r="B27" s="122"/>
      <c r="D27" s="126"/>
      <c r="E27" s="127"/>
      <c r="F27" s="12"/>
      <c r="G27" s="102"/>
      <c r="I27" s="110" t="s">
        <v>129</v>
      </c>
      <c r="J27" s="111"/>
      <c r="K27" s="112"/>
      <c r="M27" s="42">
        <v>33</v>
      </c>
      <c r="O27" s="107">
        <f>M27*$G$25</f>
        <v>4.95</v>
      </c>
      <c r="P27" s="108"/>
    </row>
    <row r="28" spans="2:16" x14ac:dyDescent="0.25">
      <c r="B28" s="122"/>
      <c r="D28" s="128"/>
      <c r="E28" s="129"/>
      <c r="F28" s="12"/>
      <c r="G28" s="103"/>
      <c r="I28" s="110" t="s">
        <v>130</v>
      </c>
      <c r="J28" s="111"/>
      <c r="K28" s="112"/>
      <c r="M28" s="42">
        <v>0</v>
      </c>
      <c r="O28" s="107">
        <f>M28*$G$25</f>
        <v>0</v>
      </c>
      <c r="P28" s="108"/>
    </row>
    <row r="29" spans="2:16" x14ac:dyDescent="0.25">
      <c r="B29" s="122"/>
      <c r="O29" s="19"/>
      <c r="P29" s="19"/>
    </row>
    <row r="30" spans="2:16" ht="15" customHeight="1" x14ac:dyDescent="0.25">
      <c r="B30" s="122"/>
      <c r="D30" s="124" t="s">
        <v>108</v>
      </c>
      <c r="E30" s="125"/>
      <c r="F30" s="12"/>
      <c r="G30" s="101">
        <v>0.1</v>
      </c>
      <c r="I30" s="109" t="s">
        <v>127</v>
      </c>
      <c r="J30" s="105"/>
      <c r="K30" s="106"/>
      <c r="M30" s="42">
        <v>100</v>
      </c>
      <c r="O30" s="107">
        <f>M30*$G$30</f>
        <v>10</v>
      </c>
      <c r="P30" s="108"/>
    </row>
    <row r="31" spans="2:16" x14ac:dyDescent="0.25">
      <c r="B31" s="122"/>
      <c r="D31" s="126"/>
      <c r="E31" s="127"/>
      <c r="F31" s="12"/>
      <c r="G31" s="102"/>
      <c r="I31" s="110" t="s">
        <v>128</v>
      </c>
      <c r="J31" s="111"/>
      <c r="K31" s="112"/>
      <c r="M31" s="42">
        <v>66</v>
      </c>
      <c r="O31" s="107">
        <f>M31*$G$30</f>
        <v>6.6000000000000005</v>
      </c>
      <c r="P31" s="108"/>
    </row>
    <row r="32" spans="2:16" x14ac:dyDescent="0.25">
      <c r="B32" s="122"/>
      <c r="D32" s="126"/>
      <c r="E32" s="127"/>
      <c r="F32" s="12"/>
      <c r="G32" s="102"/>
      <c r="I32" s="110" t="s">
        <v>129</v>
      </c>
      <c r="J32" s="111"/>
      <c r="K32" s="112"/>
      <c r="M32" s="42">
        <v>33</v>
      </c>
      <c r="O32" s="107">
        <f>M32*$G$30</f>
        <v>3.3000000000000003</v>
      </c>
      <c r="P32" s="108"/>
    </row>
    <row r="33" spans="2:16" x14ac:dyDescent="0.25">
      <c r="B33" s="122"/>
      <c r="D33" s="128"/>
      <c r="E33" s="129"/>
      <c r="F33" s="12"/>
      <c r="G33" s="103"/>
      <c r="I33" s="110" t="s">
        <v>130</v>
      </c>
      <c r="J33" s="111"/>
      <c r="K33" s="112"/>
      <c r="M33" s="42">
        <v>0</v>
      </c>
      <c r="O33" s="107">
        <f>M33*$G$30</f>
        <v>0</v>
      </c>
      <c r="P33" s="108"/>
    </row>
    <row r="34" spans="2:16" x14ac:dyDescent="0.25">
      <c r="B34" s="122"/>
      <c r="O34" s="19"/>
      <c r="P34" s="19"/>
    </row>
    <row r="35" spans="2:16" ht="15" customHeight="1" x14ac:dyDescent="0.25">
      <c r="B35" s="122"/>
      <c r="D35" s="130" t="s">
        <v>29</v>
      </c>
      <c r="E35" s="130"/>
      <c r="G35" s="131" t="s">
        <v>76</v>
      </c>
      <c r="I35" s="134" t="s">
        <v>77</v>
      </c>
      <c r="J35" s="135"/>
      <c r="K35" s="135"/>
      <c r="M35" s="90" t="s">
        <v>141</v>
      </c>
      <c r="O35" s="136">
        <v>25</v>
      </c>
      <c r="P35" s="136"/>
    </row>
    <row r="36" spans="2:16" x14ac:dyDescent="0.25">
      <c r="B36" s="122"/>
      <c r="D36" s="130"/>
      <c r="E36" s="130"/>
      <c r="G36" s="132"/>
      <c r="I36" s="134" t="s">
        <v>78</v>
      </c>
      <c r="J36" s="135"/>
      <c r="K36" s="135"/>
      <c r="M36" s="42">
        <v>-25</v>
      </c>
      <c r="O36" s="136">
        <v>-25</v>
      </c>
      <c r="P36" s="136"/>
    </row>
    <row r="37" spans="2:16" x14ac:dyDescent="0.25">
      <c r="B37" s="123"/>
      <c r="D37" s="130"/>
      <c r="E37" s="130"/>
      <c r="G37" s="133"/>
      <c r="I37" s="134" t="s">
        <v>79</v>
      </c>
      <c r="J37" s="135"/>
      <c r="K37" s="135"/>
      <c r="M37" s="43">
        <v>-100</v>
      </c>
      <c r="O37" s="136">
        <v>-100</v>
      </c>
      <c r="P37" s="136"/>
    </row>
    <row r="38" spans="2:16" x14ac:dyDescent="0.25">
      <c r="B38" s="85"/>
      <c r="O38" s="19"/>
      <c r="P38" s="19"/>
    </row>
    <row r="39" spans="2:16" ht="15" customHeight="1" x14ac:dyDescent="0.25">
      <c r="B39" s="137" t="s">
        <v>37</v>
      </c>
      <c r="D39" s="140" t="s">
        <v>136</v>
      </c>
      <c r="E39" s="141"/>
      <c r="G39" s="101">
        <v>0.25</v>
      </c>
      <c r="I39" s="109" t="s">
        <v>131</v>
      </c>
      <c r="J39" s="105"/>
      <c r="K39" s="106"/>
      <c r="M39" s="42">
        <v>200</v>
      </c>
      <c r="O39" s="146">
        <f>M39*$G$39</f>
        <v>50</v>
      </c>
      <c r="P39" s="146"/>
    </row>
    <row r="40" spans="2:16" x14ac:dyDescent="0.25">
      <c r="B40" s="138"/>
      <c r="D40" s="142"/>
      <c r="E40" s="143"/>
      <c r="G40" s="102"/>
      <c r="I40" s="109" t="s">
        <v>132</v>
      </c>
      <c r="J40" s="105"/>
      <c r="K40" s="106"/>
      <c r="M40" s="42">
        <v>100</v>
      </c>
      <c r="O40" s="146">
        <f>M40*$G$39</f>
        <v>25</v>
      </c>
      <c r="P40" s="146"/>
    </row>
    <row r="41" spans="2:16" x14ac:dyDescent="0.25">
      <c r="B41" s="138"/>
      <c r="D41" s="142"/>
      <c r="E41" s="143"/>
      <c r="G41" s="102"/>
      <c r="I41" s="147" t="s">
        <v>133</v>
      </c>
      <c r="J41" s="105"/>
      <c r="K41" s="106"/>
      <c r="M41" s="42">
        <v>90</v>
      </c>
      <c r="O41" s="146">
        <f>M41*$G$39</f>
        <v>22.5</v>
      </c>
      <c r="P41" s="146"/>
    </row>
    <row r="42" spans="2:16" x14ac:dyDescent="0.25">
      <c r="B42" s="139"/>
      <c r="D42" s="144"/>
      <c r="E42" s="145"/>
      <c r="G42" s="103"/>
      <c r="I42" s="109" t="s">
        <v>134</v>
      </c>
      <c r="J42" s="105"/>
      <c r="K42" s="106"/>
      <c r="M42" s="42">
        <v>0</v>
      </c>
      <c r="O42" s="146">
        <f>M42*$G$39</f>
        <v>0</v>
      </c>
      <c r="P42" s="146"/>
    </row>
    <row r="43" spans="2:16" x14ac:dyDescent="0.25">
      <c r="B43" s="86"/>
      <c r="C43" s="1"/>
      <c r="D43" s="24"/>
      <c r="E43" s="24"/>
      <c r="G43" s="25"/>
      <c r="I43" s="26"/>
      <c r="J43" s="26"/>
      <c r="K43" s="26"/>
      <c r="M43" s="27"/>
      <c r="O43" s="28"/>
      <c r="P43" s="28"/>
    </row>
    <row r="44" spans="2:16" ht="15" customHeight="1" x14ac:dyDescent="0.25">
      <c r="B44" s="162" t="s">
        <v>42</v>
      </c>
      <c r="D44" s="163" t="s">
        <v>140</v>
      </c>
      <c r="E44" s="164"/>
      <c r="G44" s="101">
        <v>0.1</v>
      </c>
      <c r="I44" s="120" t="s">
        <v>80</v>
      </c>
      <c r="J44" s="111"/>
      <c r="K44" s="112"/>
      <c r="M44" s="44">
        <v>100</v>
      </c>
      <c r="O44" s="169">
        <f>M44*$G$44</f>
        <v>10</v>
      </c>
      <c r="P44" s="169"/>
    </row>
    <row r="45" spans="2:16" ht="15" customHeight="1" x14ac:dyDescent="0.25">
      <c r="B45" s="162"/>
      <c r="D45" s="165"/>
      <c r="E45" s="166"/>
      <c r="G45" s="102"/>
      <c r="I45" s="110" t="s">
        <v>133</v>
      </c>
      <c r="J45" s="111"/>
      <c r="K45" s="112"/>
      <c r="M45" s="44">
        <v>75</v>
      </c>
      <c r="O45" s="160">
        <f>M45*$G$44</f>
        <v>7.5</v>
      </c>
      <c r="P45" s="161"/>
    </row>
    <row r="46" spans="2:16" x14ac:dyDescent="0.25">
      <c r="B46" s="162"/>
      <c r="D46" s="167"/>
      <c r="E46" s="168"/>
      <c r="G46" s="103"/>
      <c r="I46" s="110" t="s">
        <v>135</v>
      </c>
      <c r="J46" s="111"/>
      <c r="K46" s="112"/>
      <c r="M46" s="44">
        <v>0</v>
      </c>
      <c r="O46" s="160">
        <f>M46*$G$44</f>
        <v>0</v>
      </c>
      <c r="P46" s="161"/>
    </row>
    <row r="47" spans="2:16" x14ac:dyDescent="0.25">
      <c r="B47" s="162"/>
    </row>
    <row r="48" spans="2:16" ht="15" customHeight="1" x14ac:dyDescent="0.25">
      <c r="B48" s="162"/>
      <c r="D48" s="163" t="s">
        <v>49</v>
      </c>
      <c r="E48" s="164"/>
      <c r="G48" s="101">
        <v>0.15</v>
      </c>
      <c r="I48" s="109" t="s">
        <v>113</v>
      </c>
      <c r="J48" s="105"/>
      <c r="K48" s="106"/>
      <c r="M48" s="44">
        <v>100</v>
      </c>
      <c r="O48" s="169">
        <f>M48*$G$48</f>
        <v>15</v>
      </c>
      <c r="P48" s="169"/>
    </row>
    <row r="49" spans="2:16" ht="15" customHeight="1" x14ac:dyDescent="0.25">
      <c r="B49" s="162"/>
      <c r="D49" s="165"/>
      <c r="E49" s="166"/>
      <c r="G49" s="102"/>
      <c r="I49" s="109" t="s">
        <v>134</v>
      </c>
      <c r="J49" s="105"/>
      <c r="K49" s="106"/>
      <c r="M49" s="44">
        <v>90</v>
      </c>
      <c r="O49" s="169">
        <f>M49*$G$48</f>
        <v>13.5</v>
      </c>
      <c r="P49" s="169"/>
    </row>
    <row r="50" spans="2:16" x14ac:dyDescent="0.25">
      <c r="B50" s="162"/>
      <c r="D50" s="167"/>
      <c r="E50" s="168"/>
      <c r="G50" s="103"/>
      <c r="I50" s="109" t="s">
        <v>135</v>
      </c>
      <c r="J50" s="105"/>
      <c r="K50" s="106"/>
      <c r="M50" s="44">
        <v>0</v>
      </c>
      <c r="O50" s="160">
        <f>M50*$G$48</f>
        <v>0</v>
      </c>
      <c r="P50" s="161"/>
    </row>
    <row r="51" spans="2:16" x14ac:dyDescent="0.25">
      <c r="B51" s="162"/>
    </row>
    <row r="52" spans="2:16" ht="15" customHeight="1" x14ac:dyDescent="0.25">
      <c r="B52" s="162"/>
      <c r="C52" s="1"/>
      <c r="D52" s="148" t="s">
        <v>51</v>
      </c>
      <c r="E52" s="148"/>
      <c r="G52" s="149" t="s">
        <v>52</v>
      </c>
      <c r="H52" s="149"/>
      <c r="I52" s="149"/>
      <c r="J52" s="149"/>
      <c r="K52" s="149"/>
      <c r="L52" s="149"/>
      <c r="M52" s="149"/>
      <c r="N52" s="149"/>
      <c r="O52" s="149"/>
      <c r="P52" s="149"/>
    </row>
    <row r="53" spans="2:16" x14ac:dyDescent="0.25">
      <c r="B53" s="162"/>
      <c r="C53" s="1"/>
      <c r="D53" s="148"/>
      <c r="E53" s="148"/>
      <c r="G53" s="149"/>
      <c r="H53" s="149"/>
      <c r="I53" s="149"/>
      <c r="J53" s="149"/>
      <c r="K53" s="149"/>
      <c r="L53" s="149"/>
      <c r="M53" s="149"/>
      <c r="N53" s="149"/>
      <c r="O53" s="149"/>
      <c r="P53" s="149"/>
    </row>
    <row r="54" spans="2:16" x14ac:dyDescent="0.25">
      <c r="B54" s="162"/>
      <c r="C54" s="1"/>
      <c r="D54" s="148"/>
      <c r="E54" s="148"/>
      <c r="G54" s="149"/>
      <c r="H54" s="149"/>
      <c r="I54" s="149"/>
      <c r="J54" s="149"/>
      <c r="K54" s="149"/>
      <c r="L54" s="149"/>
      <c r="M54" s="149"/>
      <c r="N54" s="149"/>
      <c r="O54" s="149"/>
      <c r="P54" s="149"/>
    </row>
    <row r="55" spans="2:16" x14ac:dyDescent="0.25">
      <c r="B55" s="162"/>
      <c r="C55" s="1"/>
      <c r="D55" s="148"/>
      <c r="E55" s="148"/>
      <c r="G55" s="149"/>
      <c r="H55" s="149"/>
      <c r="I55" s="149"/>
      <c r="J55" s="149"/>
      <c r="K55" s="149"/>
      <c r="L55" s="149"/>
      <c r="M55" s="149"/>
      <c r="N55" s="149"/>
      <c r="O55" s="149"/>
      <c r="P55" s="149"/>
    </row>
    <row r="56" spans="2:16" x14ac:dyDescent="0.25">
      <c r="B56" s="85"/>
    </row>
    <row r="57" spans="2:16" ht="15" customHeight="1" x14ac:dyDescent="0.25">
      <c r="B57" s="150" t="s">
        <v>17</v>
      </c>
      <c r="D57" s="151">
        <v>100</v>
      </c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3"/>
    </row>
    <row r="58" spans="2:16" ht="15" customHeight="1" x14ac:dyDescent="0.25">
      <c r="B58" s="150"/>
      <c r="D58" s="154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6"/>
    </row>
    <row r="59" spans="2:16" ht="15" customHeight="1" x14ac:dyDescent="0.25">
      <c r="B59" s="150"/>
      <c r="D59" s="154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6"/>
    </row>
    <row r="60" spans="2:16" ht="15" customHeight="1" x14ac:dyDescent="0.25">
      <c r="B60" s="150"/>
      <c r="D60" s="154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6"/>
    </row>
    <row r="61" spans="2:16" ht="15" customHeight="1" x14ac:dyDescent="0.25">
      <c r="B61" s="150"/>
      <c r="D61" s="157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9"/>
    </row>
    <row r="63" spans="2:16" x14ac:dyDescent="0.25">
      <c r="G63" s="45"/>
    </row>
  </sheetData>
  <mergeCells count="97">
    <mergeCell ref="G44:G46"/>
    <mergeCell ref="I45:K45"/>
    <mergeCell ref="O45:P45"/>
    <mergeCell ref="I44:K44"/>
    <mergeCell ref="O44:P44"/>
    <mergeCell ref="D52:E55"/>
    <mergeCell ref="G52:P55"/>
    <mergeCell ref="B57:B61"/>
    <mergeCell ref="D57:P61"/>
    <mergeCell ref="I50:K50"/>
    <mergeCell ref="O50:P50"/>
    <mergeCell ref="B44:B55"/>
    <mergeCell ref="I46:K46"/>
    <mergeCell ref="O46:P46"/>
    <mergeCell ref="D48:E50"/>
    <mergeCell ref="G48:G50"/>
    <mergeCell ref="I48:K48"/>
    <mergeCell ref="O48:P48"/>
    <mergeCell ref="I49:K49"/>
    <mergeCell ref="O49:P49"/>
    <mergeCell ref="D44:E46"/>
    <mergeCell ref="B39:B42"/>
    <mergeCell ref="D39:E42"/>
    <mergeCell ref="G39:G42"/>
    <mergeCell ref="I39:K39"/>
    <mergeCell ref="O39:P39"/>
    <mergeCell ref="I40:K40"/>
    <mergeCell ref="O40:P40"/>
    <mergeCell ref="I41:K41"/>
    <mergeCell ref="O41:P41"/>
    <mergeCell ref="I42:K42"/>
    <mergeCell ref="O42:P42"/>
    <mergeCell ref="I33:K33"/>
    <mergeCell ref="O33:P33"/>
    <mergeCell ref="D35:E37"/>
    <mergeCell ref="G35:G37"/>
    <mergeCell ref="I35:K35"/>
    <mergeCell ref="O35:P35"/>
    <mergeCell ref="I36:K36"/>
    <mergeCell ref="O36:P36"/>
    <mergeCell ref="I37:K37"/>
    <mergeCell ref="O37:P37"/>
    <mergeCell ref="O30:P30"/>
    <mergeCell ref="I31:K31"/>
    <mergeCell ref="O31:P31"/>
    <mergeCell ref="I32:K32"/>
    <mergeCell ref="O32:P32"/>
    <mergeCell ref="I22:K22"/>
    <mergeCell ref="O22:P22"/>
    <mergeCell ref="B25:B37"/>
    <mergeCell ref="D25:E28"/>
    <mergeCell ref="G25:G28"/>
    <mergeCell ref="I25:K25"/>
    <mergeCell ref="O25:P25"/>
    <mergeCell ref="I26:K26"/>
    <mergeCell ref="O26:P26"/>
    <mergeCell ref="I27:K27"/>
    <mergeCell ref="O27:P27"/>
    <mergeCell ref="I28:K28"/>
    <mergeCell ref="O28:P28"/>
    <mergeCell ref="D30:E33"/>
    <mergeCell ref="G30:G33"/>
    <mergeCell ref="I30:K30"/>
    <mergeCell ref="D15:E18"/>
    <mergeCell ref="G15:G18"/>
    <mergeCell ref="I15:K15"/>
    <mergeCell ref="O15:P15"/>
    <mergeCell ref="I16:K16"/>
    <mergeCell ref="O16:P16"/>
    <mergeCell ref="I17:K17"/>
    <mergeCell ref="O17:P17"/>
    <mergeCell ref="O20:P20"/>
    <mergeCell ref="I21:K21"/>
    <mergeCell ref="O21:P21"/>
    <mergeCell ref="I13:K13"/>
    <mergeCell ref="O13:P13"/>
    <mergeCell ref="D3:P4"/>
    <mergeCell ref="D6:P6"/>
    <mergeCell ref="D8:E8"/>
    <mergeCell ref="I8:K8"/>
    <mergeCell ref="O8:P8"/>
    <mergeCell ref="B10:B23"/>
    <mergeCell ref="D10:E13"/>
    <mergeCell ref="G10:G13"/>
    <mergeCell ref="I10:K10"/>
    <mergeCell ref="O10:P10"/>
    <mergeCell ref="I11:K11"/>
    <mergeCell ref="O11:P11"/>
    <mergeCell ref="I12:K12"/>
    <mergeCell ref="O12:P12"/>
    <mergeCell ref="I23:K23"/>
    <mergeCell ref="O23:P23"/>
    <mergeCell ref="I18:K18"/>
    <mergeCell ref="O18:P18"/>
    <mergeCell ref="D20:E23"/>
    <mergeCell ref="G20:G23"/>
    <mergeCell ref="I20:K2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Y86"/>
  <sheetViews>
    <sheetView zoomScaleNormal="100" workbookViewId="0">
      <selection activeCell="I17" sqref="I17"/>
    </sheetView>
  </sheetViews>
  <sheetFormatPr defaultColWidth="10.140625" defaultRowHeight="15" x14ac:dyDescent="0.25"/>
  <cols>
    <col min="1" max="1" width="10.140625" style="47"/>
    <col min="2" max="2" width="4.42578125" style="47" customWidth="1"/>
    <col min="3" max="3" width="2.28515625" style="47" customWidth="1"/>
    <col min="4" max="5" width="8.42578125" style="47" customWidth="1"/>
    <col min="6" max="6" width="2.28515625" style="47" customWidth="1"/>
    <col min="7" max="7" width="9.85546875" style="47" customWidth="1"/>
    <col min="8" max="8" width="2.28515625" style="47" customWidth="1"/>
    <col min="9" max="9" width="9.140625" style="47" customWidth="1"/>
    <col min="10" max="11" width="11.5703125" style="47" customWidth="1"/>
    <col min="12" max="12" width="2.28515625" style="47" hidden="1" customWidth="1"/>
    <col min="13" max="13" width="11.28515625" style="47" hidden="1" customWidth="1"/>
    <col min="14" max="14" width="2.28515625" style="47" customWidth="1"/>
    <col min="15" max="16" width="8.140625" style="47" customWidth="1"/>
    <col min="17" max="17" width="14.140625" style="47" customWidth="1"/>
    <col min="18" max="18" width="10.140625" style="47" customWidth="1"/>
    <col min="19" max="19" width="14.42578125" style="47" hidden="1" customWidth="1"/>
    <col min="20" max="21" width="11.5703125" style="47" hidden="1" customWidth="1"/>
    <col min="22" max="25" width="10.140625" style="47" hidden="1" customWidth="1"/>
    <col min="26" max="16384" width="10.140625" style="47"/>
  </cols>
  <sheetData>
    <row r="2" spans="1:20" ht="15" customHeight="1" x14ac:dyDescent="0.25">
      <c r="A2" s="48"/>
      <c r="C2" s="49"/>
      <c r="D2" s="49"/>
      <c r="E2" s="49"/>
      <c r="F2" s="49"/>
      <c r="G2" s="49"/>
      <c r="H2" s="49"/>
      <c r="I2" s="49"/>
      <c r="J2" s="49"/>
      <c r="K2" s="49"/>
      <c r="L2" s="48"/>
    </row>
    <row r="3" spans="1:20" ht="15" customHeight="1" x14ac:dyDescent="0.25">
      <c r="A3" s="48"/>
      <c r="B3" s="49"/>
      <c r="C3" s="49"/>
      <c r="D3" s="83"/>
      <c r="E3" s="83"/>
      <c r="F3" s="83"/>
      <c r="G3" s="113" t="s">
        <v>106</v>
      </c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48"/>
      <c r="B4" s="49"/>
      <c r="D4" s="83"/>
      <c r="E4" s="83"/>
      <c r="F4" s="8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48"/>
      <c r="B5" s="49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20" ht="15" customHeight="1" x14ac:dyDescent="0.25">
      <c r="A6" s="48"/>
      <c r="B6" s="49"/>
      <c r="D6" s="170" t="s">
        <v>0</v>
      </c>
      <c r="E6" s="171"/>
      <c r="F6" s="46"/>
      <c r="G6" s="171" t="s">
        <v>92</v>
      </c>
      <c r="H6" s="171"/>
      <c r="I6" s="171"/>
      <c r="J6" s="171"/>
      <c r="K6" s="171"/>
      <c r="L6" s="171"/>
      <c r="M6" s="171"/>
      <c r="N6" s="171"/>
      <c r="O6" s="171"/>
      <c r="P6" s="172"/>
      <c r="S6" s="51" t="s">
        <v>2</v>
      </c>
      <c r="T6" s="47">
        <v>5</v>
      </c>
    </row>
    <row r="7" spans="1:20" ht="5.25" customHeight="1" x14ac:dyDescent="0.25">
      <c r="A7" s="48"/>
      <c r="B7" s="49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</row>
    <row r="8" spans="1:20" ht="15" customHeight="1" x14ac:dyDescent="0.25">
      <c r="A8" s="48"/>
      <c r="B8" s="49"/>
      <c r="C8" s="49"/>
      <c r="D8" s="170" t="s">
        <v>3</v>
      </c>
      <c r="E8" s="171"/>
      <c r="F8" s="46"/>
      <c r="G8" s="173"/>
      <c r="H8" s="173"/>
      <c r="I8" s="173"/>
      <c r="J8" s="173"/>
      <c r="K8" s="173"/>
      <c r="L8" s="173"/>
      <c r="M8" s="173"/>
      <c r="N8" s="173"/>
      <c r="O8" s="173"/>
      <c r="P8" s="174"/>
    </row>
    <row r="9" spans="1:20" ht="6" customHeight="1" x14ac:dyDescent="0.2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48"/>
    </row>
    <row r="10" spans="1:20" ht="16.5" customHeight="1" x14ac:dyDescent="0.25">
      <c r="A10" s="48"/>
      <c r="B10" s="48"/>
      <c r="C10" s="48"/>
      <c r="D10" s="175" t="s">
        <v>5</v>
      </c>
      <c r="E10" s="175"/>
      <c r="F10" s="48"/>
      <c r="G10" s="52" t="s">
        <v>6</v>
      </c>
      <c r="H10" s="48"/>
      <c r="I10" s="175" t="s">
        <v>9</v>
      </c>
      <c r="J10" s="175"/>
      <c r="K10" s="175"/>
      <c r="L10" s="48"/>
      <c r="M10" s="52" t="s">
        <v>8</v>
      </c>
      <c r="O10" s="175" t="s">
        <v>17</v>
      </c>
      <c r="P10" s="175"/>
    </row>
    <row r="11" spans="1:20" ht="6.75" customHeight="1" x14ac:dyDescent="0.25">
      <c r="A11" s="48"/>
      <c r="B11" s="53" t="s">
        <v>10</v>
      </c>
      <c r="C11" s="48"/>
      <c r="D11" s="48"/>
      <c r="E11" s="54"/>
      <c r="F11" s="48"/>
      <c r="G11" s="48"/>
      <c r="H11" s="48"/>
      <c r="I11" s="48"/>
      <c r="J11" s="48"/>
      <c r="K11" s="48"/>
      <c r="L11" s="48"/>
    </row>
    <row r="12" spans="1:20" ht="15" customHeight="1" x14ac:dyDescent="0.25">
      <c r="A12" s="48"/>
      <c r="B12" s="317" t="s">
        <v>11</v>
      </c>
      <c r="C12" s="48"/>
      <c r="D12" s="316" t="str">
        <f>Matrix!D10</f>
        <v>Restaurant Proficiency</v>
      </c>
      <c r="E12" s="316"/>
      <c r="F12" s="55"/>
      <c r="G12" s="184">
        <f>Matrix!G10</f>
        <v>0.1</v>
      </c>
      <c r="H12" s="48"/>
      <c r="I12" s="56" t="s">
        <v>93</v>
      </c>
      <c r="J12" s="182" t="str">
        <f>IF(ISBLANK(Jul!J13),"",Jul!O13)</f>
        <v/>
      </c>
      <c r="K12" s="183"/>
      <c r="L12" s="48"/>
      <c r="M12" s="187">
        <f>IF(J18&lt;=0,100,IF(J18&lt;5%,75,IF(J18&lt;7.5%,50,IF(J18&lt;10%,25,0))))</f>
        <v>100</v>
      </c>
      <c r="O12" s="176">
        <f>J18</f>
        <v>0</v>
      </c>
      <c r="P12" s="177"/>
    </row>
    <row r="13" spans="1:20" ht="15" customHeight="1" x14ac:dyDescent="0.25">
      <c r="A13" s="48"/>
      <c r="B13" s="318"/>
      <c r="C13" s="48"/>
      <c r="D13" s="316"/>
      <c r="E13" s="316"/>
      <c r="F13" s="55"/>
      <c r="G13" s="185"/>
      <c r="H13" s="48"/>
      <c r="I13" s="56" t="s">
        <v>94</v>
      </c>
      <c r="J13" s="182" t="str">
        <f>IF(ISBLANK(Aug!J13),"",Aug!O13)</f>
        <v/>
      </c>
      <c r="K13" s="183"/>
      <c r="L13" s="48"/>
      <c r="M13" s="188"/>
      <c r="O13" s="178"/>
      <c r="P13" s="179"/>
    </row>
    <row r="14" spans="1:20" ht="15" customHeight="1" x14ac:dyDescent="0.25">
      <c r="A14" s="48"/>
      <c r="B14" s="318"/>
      <c r="C14" s="48"/>
      <c r="D14" s="316"/>
      <c r="E14" s="316"/>
      <c r="F14" s="55"/>
      <c r="G14" s="185"/>
      <c r="H14" s="48"/>
      <c r="I14" s="56" t="s">
        <v>95</v>
      </c>
      <c r="J14" s="182" t="str">
        <f>IF(ISBLANK(Sep!J13),"",Sep!O13)</f>
        <v/>
      </c>
      <c r="K14" s="183"/>
      <c r="L14" s="48"/>
      <c r="M14" s="188"/>
      <c r="O14" s="178"/>
      <c r="P14" s="179"/>
    </row>
    <row r="15" spans="1:20" ht="15" customHeight="1" x14ac:dyDescent="0.25">
      <c r="A15" s="48"/>
      <c r="B15" s="318"/>
      <c r="C15" s="48"/>
      <c r="D15" s="316"/>
      <c r="E15" s="316"/>
      <c r="F15" s="55"/>
      <c r="G15" s="185"/>
      <c r="H15" s="48"/>
      <c r="I15" s="56" t="s">
        <v>96</v>
      </c>
      <c r="J15" s="182" t="str">
        <f>IF(ISBLANK(Oct!J13),"",Oct!O13)</f>
        <v/>
      </c>
      <c r="K15" s="183"/>
      <c r="L15" s="48"/>
      <c r="M15" s="188"/>
      <c r="O15" s="178"/>
      <c r="P15" s="179"/>
    </row>
    <row r="16" spans="1:20" ht="15" customHeight="1" x14ac:dyDescent="0.25">
      <c r="A16" s="48"/>
      <c r="B16" s="318"/>
      <c r="C16" s="48"/>
      <c r="D16" s="316"/>
      <c r="E16" s="316"/>
      <c r="F16" s="55"/>
      <c r="G16" s="185"/>
      <c r="H16" s="48"/>
      <c r="I16" s="56" t="s">
        <v>97</v>
      </c>
      <c r="J16" s="182" t="str">
        <f>IF(ISBLANK(Nov!J13),"",Nov!O13)</f>
        <v/>
      </c>
      <c r="K16" s="183"/>
      <c r="L16" s="48"/>
      <c r="M16" s="188"/>
      <c r="O16" s="178"/>
      <c r="P16" s="179"/>
    </row>
    <row r="17" spans="1:20" ht="15" customHeight="1" x14ac:dyDescent="0.25">
      <c r="A17" s="48"/>
      <c r="B17" s="318"/>
      <c r="C17" s="48"/>
      <c r="D17" s="316"/>
      <c r="E17" s="316"/>
      <c r="F17" s="55"/>
      <c r="G17" s="185"/>
      <c r="H17" s="48"/>
      <c r="I17" s="56" t="s">
        <v>98</v>
      </c>
      <c r="J17" s="182" t="str">
        <f>IF(ISBLANK(Dec!J13),"",Dec!O13)</f>
        <v/>
      </c>
      <c r="K17" s="183"/>
      <c r="L17" s="48"/>
      <c r="M17" s="188"/>
      <c r="O17" s="178"/>
      <c r="P17" s="179"/>
    </row>
    <row r="18" spans="1:20" x14ac:dyDescent="0.25">
      <c r="B18" s="318"/>
      <c r="D18" s="316"/>
      <c r="E18" s="316"/>
      <c r="F18" s="55"/>
      <c r="G18" s="186"/>
      <c r="I18" s="56" t="s">
        <v>99</v>
      </c>
      <c r="J18" s="182">
        <f>IFERROR(AVERAGE(J12:K17),0)</f>
        <v>0</v>
      </c>
      <c r="K18" s="183"/>
      <c r="M18" s="189"/>
      <c r="O18" s="180"/>
      <c r="P18" s="181"/>
    </row>
    <row r="19" spans="1:20" x14ac:dyDescent="0.25">
      <c r="B19" s="318"/>
      <c r="G19" s="48"/>
      <c r="J19" s="57"/>
      <c r="K19" s="57"/>
    </row>
    <row r="20" spans="1:20" ht="15" customHeight="1" x14ac:dyDescent="0.25">
      <c r="B20" s="318"/>
      <c r="D20" s="316" t="str">
        <f>Matrix!D15</f>
        <v>Crew Staffing Tiered by Sales Band</v>
      </c>
      <c r="E20" s="316"/>
      <c r="G20" s="184">
        <f>Matrix!G15</f>
        <v>0.1</v>
      </c>
      <c r="I20" s="56" t="s">
        <v>93</v>
      </c>
      <c r="J20" s="182" t="str">
        <f>IF(ISBLANK(Jul!K21),"",Jul!O21)</f>
        <v/>
      </c>
      <c r="K20" s="183"/>
      <c r="L20" s="48"/>
      <c r="M20" s="187">
        <f>IFERROR(IF(ISBLANK(K20),0,IF(J26&gt;=T26,100,IF(J26&gt;=T23,75,IF(J26&gt;=T22,50,IF(J26&gt;=T21,25,0))))),0)</f>
        <v>0</v>
      </c>
      <c r="O20" s="176">
        <f>J26</f>
        <v>0</v>
      </c>
      <c r="P20" s="177"/>
      <c r="S20" s="51" t="s">
        <v>20</v>
      </c>
      <c r="T20" s="58" t="e">
        <f>FLOOR(U58,5000)</f>
        <v>#REF!</v>
      </c>
    </row>
    <row r="21" spans="1:20" ht="15" customHeight="1" x14ac:dyDescent="0.25">
      <c r="B21" s="318"/>
      <c r="D21" s="316"/>
      <c r="E21" s="316"/>
      <c r="G21" s="185"/>
      <c r="I21" s="56" t="s">
        <v>94</v>
      </c>
      <c r="J21" s="182" t="str">
        <f>IF(ISBLANK(Aug!K21),"",Aug!O21)</f>
        <v/>
      </c>
      <c r="K21" s="183"/>
      <c r="L21" s="48"/>
      <c r="M21" s="188"/>
      <c r="O21" s="178"/>
      <c r="P21" s="179"/>
      <c r="S21" s="51" t="s">
        <v>21</v>
      </c>
      <c r="T21" s="47" t="e">
        <f>VLOOKUP($T$20,'Crew Staffing Bands'!$A$1:$E$23,2,FALSE)</f>
        <v>#REF!</v>
      </c>
    </row>
    <row r="22" spans="1:20" ht="15" customHeight="1" x14ac:dyDescent="0.25">
      <c r="B22" s="318"/>
      <c r="D22" s="316"/>
      <c r="E22" s="316"/>
      <c r="G22" s="185"/>
      <c r="I22" s="56" t="s">
        <v>95</v>
      </c>
      <c r="J22" s="182" t="str">
        <f>IF(ISBLANK(Sep!K21),"",Sep!O21)</f>
        <v/>
      </c>
      <c r="K22" s="183"/>
      <c r="L22" s="48"/>
      <c r="M22" s="188"/>
      <c r="O22" s="178"/>
      <c r="P22" s="179"/>
      <c r="S22" s="51" t="s">
        <v>22</v>
      </c>
      <c r="T22" s="47" t="e">
        <f>VLOOKUP($T$20,'Crew Staffing Bands'!$A$1:$E$23,3,FALSE)</f>
        <v>#REF!</v>
      </c>
    </row>
    <row r="23" spans="1:20" ht="15" customHeight="1" x14ac:dyDescent="0.25">
      <c r="B23" s="318"/>
      <c r="D23" s="316"/>
      <c r="E23" s="316"/>
      <c r="G23" s="185"/>
      <c r="I23" s="56" t="s">
        <v>96</v>
      </c>
      <c r="J23" s="182" t="str">
        <f>IF(ISBLANK(Oct!K21),"",Oct!O21)</f>
        <v/>
      </c>
      <c r="K23" s="183"/>
      <c r="L23" s="48"/>
      <c r="M23" s="188"/>
      <c r="O23" s="178"/>
      <c r="P23" s="179"/>
      <c r="S23" s="51" t="s">
        <v>23</v>
      </c>
      <c r="T23" s="47" t="e">
        <f>VLOOKUP($T$20,'Crew Staffing Bands'!$A$1:$E$23,4,FALSE)</f>
        <v>#REF!</v>
      </c>
    </row>
    <row r="24" spans="1:20" ht="15" customHeight="1" x14ac:dyDescent="0.25">
      <c r="B24" s="318"/>
      <c r="D24" s="316"/>
      <c r="E24" s="316"/>
      <c r="G24" s="185"/>
      <c r="I24" s="56" t="s">
        <v>97</v>
      </c>
      <c r="J24" s="182" t="str">
        <f>IF(ISBLANK(Nov!K21),"",Nov!O21)</f>
        <v/>
      </c>
      <c r="K24" s="183"/>
      <c r="L24" s="48"/>
      <c r="M24" s="188"/>
      <c r="O24" s="178"/>
      <c r="P24" s="179"/>
      <c r="S24" s="51"/>
    </row>
    <row r="25" spans="1:20" ht="15" customHeight="1" x14ac:dyDescent="0.25">
      <c r="B25" s="318"/>
      <c r="D25" s="316"/>
      <c r="E25" s="316"/>
      <c r="G25" s="185"/>
      <c r="I25" s="56" t="s">
        <v>98</v>
      </c>
      <c r="J25" s="182" t="str">
        <f>IF(ISBLANK(Dec!K21),"",Dec!O21)</f>
        <v/>
      </c>
      <c r="K25" s="183"/>
      <c r="L25" s="48"/>
      <c r="M25" s="188"/>
      <c r="O25" s="178"/>
      <c r="P25" s="179"/>
      <c r="S25" s="51"/>
    </row>
    <row r="26" spans="1:20" x14ac:dyDescent="0.25">
      <c r="B26" s="318"/>
      <c r="D26" s="316"/>
      <c r="E26" s="316"/>
      <c r="G26" s="186"/>
      <c r="I26" s="56" t="s">
        <v>99</v>
      </c>
      <c r="J26" s="182">
        <f>IFERROR(AVERAGE(J20:K25),0)</f>
        <v>0</v>
      </c>
      <c r="K26" s="183"/>
      <c r="M26" s="189"/>
      <c r="O26" s="180"/>
      <c r="P26" s="181"/>
      <c r="S26" s="51" t="s">
        <v>24</v>
      </c>
      <c r="T26" s="47" t="e">
        <f>VLOOKUP($T$20,'Crew Staffing Bands'!$A$1:$E$23,5,FALSE)</f>
        <v>#REF!</v>
      </c>
    </row>
    <row r="27" spans="1:20" x14ac:dyDescent="0.25">
      <c r="B27" s="318"/>
      <c r="G27" s="48"/>
    </row>
    <row r="28" spans="1:20" ht="15" customHeight="1" x14ac:dyDescent="0.25">
      <c r="B28" s="318"/>
      <c r="D28" s="316" t="str">
        <f>Matrix!D20</f>
        <v>Safety Audit (6 Monthly)</v>
      </c>
      <c r="E28" s="316"/>
      <c r="G28" s="190">
        <f>Matrix!G20</f>
        <v>0.05</v>
      </c>
      <c r="I28" s="193" t="s">
        <v>118</v>
      </c>
      <c r="J28" s="195" t="str">
        <f>IF(ISBLANK(Dec!J28),"Complete in December",Dec!J28)</f>
        <v>Complete in December</v>
      </c>
      <c r="K28" s="196"/>
      <c r="L28" s="48"/>
      <c r="M28" s="191">
        <f>IF(J28="Complete in December",0,IF(J28&gt;=0.95,100,IF(J28&gt;=0.8,75,IF(J28&gt;=0.7,50,IF(J28&gt;=0.6,25,0)))))</f>
        <v>0</v>
      </c>
      <c r="O28" s="194">
        <f>M28*$G$28</f>
        <v>0</v>
      </c>
      <c r="P28" s="194"/>
    </row>
    <row r="29" spans="1:20" x14ac:dyDescent="0.25">
      <c r="B29" s="319"/>
      <c r="D29" s="316"/>
      <c r="E29" s="316"/>
      <c r="G29" s="190"/>
      <c r="I29" s="193"/>
      <c r="J29" s="197"/>
      <c r="K29" s="198"/>
      <c r="L29" s="48"/>
      <c r="M29" s="192"/>
      <c r="O29" s="194"/>
      <c r="P29" s="194"/>
    </row>
    <row r="30" spans="1:20" x14ac:dyDescent="0.25">
      <c r="B30" s="57"/>
      <c r="G30" s="48"/>
    </row>
    <row r="31" spans="1:20" ht="15" customHeight="1" x14ac:dyDescent="0.25">
      <c r="B31" s="327" t="s">
        <v>27</v>
      </c>
      <c r="D31" s="330" t="str">
        <f>Matrix!D25</f>
        <v>Market Force Complaints Per 10k</v>
      </c>
      <c r="E31" s="331"/>
      <c r="F31" s="55"/>
      <c r="G31" s="184">
        <f>Matrix!G25</f>
        <v>0.15</v>
      </c>
      <c r="I31" s="56" t="s">
        <v>93</v>
      </c>
      <c r="J31" s="182" t="str">
        <f>IF(ISBLANK(Jul!K32),"",Jul!O32)</f>
        <v/>
      </c>
      <c r="K31" s="183"/>
      <c r="M31" s="199">
        <f>IF(J37&lt;2.8,100,IF(J37&lt;3.03,75,IF(J37&lt;3.27,50,IF(J37&lt;=3.5,25,0))))</f>
        <v>100</v>
      </c>
      <c r="O31" s="176">
        <f>J37</f>
        <v>0</v>
      </c>
      <c r="P31" s="177"/>
    </row>
    <row r="32" spans="1:20" x14ac:dyDescent="0.25">
      <c r="B32" s="328"/>
      <c r="D32" s="332"/>
      <c r="E32" s="333"/>
      <c r="F32" s="55"/>
      <c r="G32" s="185"/>
      <c r="I32" s="56" t="s">
        <v>94</v>
      </c>
      <c r="J32" s="182" t="str">
        <f>IF(ISBLANK(Aug!K32),"",Aug!O32)</f>
        <v/>
      </c>
      <c r="K32" s="183"/>
      <c r="M32" s="200"/>
      <c r="O32" s="178"/>
      <c r="P32" s="179"/>
    </row>
    <row r="33" spans="2:23" x14ac:dyDescent="0.25">
      <c r="B33" s="328"/>
      <c r="D33" s="332"/>
      <c r="E33" s="333"/>
      <c r="F33" s="55"/>
      <c r="G33" s="185"/>
      <c r="I33" s="56" t="s">
        <v>95</v>
      </c>
      <c r="J33" s="182" t="str">
        <f>IF(ISBLANK(Sep!K32),"",Sep!O32)</f>
        <v/>
      </c>
      <c r="K33" s="183"/>
      <c r="M33" s="200"/>
      <c r="O33" s="178"/>
      <c r="P33" s="179"/>
    </row>
    <row r="34" spans="2:23" x14ac:dyDescent="0.25">
      <c r="B34" s="328"/>
      <c r="D34" s="332"/>
      <c r="E34" s="333"/>
      <c r="F34" s="55"/>
      <c r="G34" s="185"/>
      <c r="I34" s="56" t="s">
        <v>96</v>
      </c>
      <c r="J34" s="182" t="str">
        <f>IF(ISBLANK(Oct!K32),"",Oct!O32)</f>
        <v/>
      </c>
      <c r="K34" s="183"/>
      <c r="M34" s="200"/>
      <c r="O34" s="178"/>
      <c r="P34" s="179"/>
    </row>
    <row r="35" spans="2:23" x14ac:dyDescent="0.25">
      <c r="B35" s="328"/>
      <c r="D35" s="332"/>
      <c r="E35" s="333"/>
      <c r="F35" s="55"/>
      <c r="G35" s="185"/>
      <c r="I35" s="56" t="s">
        <v>97</v>
      </c>
      <c r="J35" s="182" t="str">
        <f>IF(ISBLANK(Nov!K32),"",Nov!O32)</f>
        <v/>
      </c>
      <c r="K35" s="183"/>
      <c r="M35" s="200"/>
      <c r="O35" s="178"/>
      <c r="P35" s="179"/>
    </row>
    <row r="36" spans="2:23" x14ac:dyDescent="0.25">
      <c r="B36" s="328"/>
      <c r="D36" s="332"/>
      <c r="E36" s="333"/>
      <c r="F36" s="55"/>
      <c r="G36" s="185"/>
      <c r="I36" s="56" t="s">
        <v>98</v>
      </c>
      <c r="J36" s="182" t="str">
        <f>IF(ISBLANK(Dec!K32),"",Dec!O32)</f>
        <v/>
      </c>
      <c r="K36" s="183"/>
      <c r="M36" s="200"/>
      <c r="O36" s="178"/>
      <c r="P36" s="179"/>
    </row>
    <row r="37" spans="2:23" x14ac:dyDescent="0.25">
      <c r="B37" s="328"/>
      <c r="D37" s="334"/>
      <c r="E37" s="335"/>
      <c r="F37" s="55"/>
      <c r="G37" s="186"/>
      <c r="I37" s="56" t="s">
        <v>99</v>
      </c>
      <c r="J37" s="182">
        <f>IFERROR(AVERAGE(J31:K36),0)</f>
        <v>0</v>
      </c>
      <c r="K37" s="183"/>
      <c r="M37" s="201"/>
      <c r="O37" s="180"/>
      <c r="P37" s="181"/>
    </row>
    <row r="38" spans="2:23" x14ac:dyDescent="0.25">
      <c r="B38" s="328"/>
      <c r="G38" s="48"/>
      <c r="O38" s="59"/>
      <c r="P38" s="59"/>
    </row>
    <row r="39" spans="2:23" ht="15" customHeight="1" x14ac:dyDescent="0.25">
      <c r="B39" s="328"/>
      <c r="D39" s="330" t="str">
        <f>Matrix!D30</f>
        <v>Perfect Car Count</v>
      </c>
      <c r="E39" s="331"/>
      <c r="F39" s="55"/>
      <c r="G39" s="184">
        <f>Matrix!G30</f>
        <v>0.1</v>
      </c>
      <c r="I39" s="56" t="s">
        <v>93</v>
      </c>
      <c r="J39" s="182" t="str">
        <f>IF(ISBLANK(Jul!J40),"",Jul!O40)</f>
        <v/>
      </c>
      <c r="K39" s="183"/>
      <c r="M39" s="187">
        <f>IF(ISBLANK(J39),0,IF(J45&lt;=T39,100,IF(J45&lt;=T40,75,IF(J45&lt;=T41,50,IF(J45&lt;=T42,25,0)))))</f>
        <v>100</v>
      </c>
      <c r="O39" s="176">
        <f>J45</f>
        <v>0</v>
      </c>
      <c r="P39" s="177"/>
      <c r="S39" s="51" t="s">
        <v>21</v>
      </c>
      <c r="T39" s="60">
        <v>2.4305555555555556E-2</v>
      </c>
    </row>
    <row r="40" spans="2:23" x14ac:dyDescent="0.25">
      <c r="B40" s="328"/>
      <c r="D40" s="332"/>
      <c r="E40" s="333"/>
      <c r="F40" s="55"/>
      <c r="G40" s="185"/>
      <c r="I40" s="56" t="s">
        <v>94</v>
      </c>
      <c r="J40" s="182" t="str">
        <f>IF(ISBLANK(Aug!J40),"",Aug!O40)</f>
        <v/>
      </c>
      <c r="K40" s="183"/>
      <c r="M40" s="188"/>
      <c r="O40" s="178"/>
      <c r="P40" s="179"/>
      <c r="S40" s="51" t="s">
        <v>22</v>
      </c>
      <c r="T40" s="60">
        <v>2.5694444444444447E-2</v>
      </c>
    </row>
    <row r="41" spans="2:23" x14ac:dyDescent="0.25">
      <c r="B41" s="328"/>
      <c r="D41" s="332"/>
      <c r="E41" s="333"/>
      <c r="F41" s="55"/>
      <c r="G41" s="185"/>
      <c r="I41" s="56" t="s">
        <v>95</v>
      </c>
      <c r="J41" s="182" t="str">
        <f>IF(ISBLANK(Sep!J40),"",Sep!O40)</f>
        <v/>
      </c>
      <c r="K41" s="183"/>
      <c r="M41" s="188"/>
      <c r="O41" s="178"/>
      <c r="P41" s="179"/>
      <c r="S41" s="51" t="s">
        <v>23</v>
      </c>
      <c r="T41" s="60">
        <v>2.6388888888888889E-2</v>
      </c>
    </row>
    <row r="42" spans="2:23" x14ac:dyDescent="0.25">
      <c r="B42" s="328"/>
      <c r="D42" s="332"/>
      <c r="E42" s="333"/>
      <c r="F42" s="55"/>
      <c r="G42" s="185"/>
      <c r="I42" s="56" t="s">
        <v>96</v>
      </c>
      <c r="J42" s="182" t="str">
        <f>IF(ISBLANK(Oct!J40),"",Oct!O40)</f>
        <v/>
      </c>
      <c r="K42" s="183"/>
      <c r="M42" s="188"/>
      <c r="O42" s="178"/>
      <c r="P42" s="179"/>
      <c r="S42" s="51" t="s">
        <v>24</v>
      </c>
      <c r="T42" s="60">
        <v>2.7083333333333334E-2</v>
      </c>
    </row>
    <row r="43" spans="2:23" x14ac:dyDescent="0.25">
      <c r="B43" s="328"/>
      <c r="D43" s="332"/>
      <c r="E43" s="333"/>
      <c r="F43" s="55"/>
      <c r="G43" s="185"/>
      <c r="I43" s="56" t="s">
        <v>97</v>
      </c>
      <c r="J43" s="182" t="str">
        <f>IF(ISBLANK(Nov!J40),"",Nov!O40)</f>
        <v/>
      </c>
      <c r="K43" s="183"/>
      <c r="M43" s="188"/>
      <c r="O43" s="178"/>
      <c r="P43" s="179"/>
      <c r="S43" s="51"/>
      <c r="T43" s="60"/>
    </row>
    <row r="44" spans="2:23" x14ac:dyDescent="0.25">
      <c r="B44" s="328"/>
      <c r="D44" s="332"/>
      <c r="E44" s="333"/>
      <c r="F44" s="55"/>
      <c r="G44" s="185"/>
      <c r="I44" s="56" t="s">
        <v>98</v>
      </c>
      <c r="J44" s="182" t="str">
        <f>IF(ISBLANK(Dec!J40),"",Dec!O40)</f>
        <v/>
      </c>
      <c r="K44" s="183"/>
      <c r="M44" s="188"/>
      <c r="O44" s="178"/>
      <c r="P44" s="179"/>
      <c r="S44" s="51"/>
      <c r="T44" s="60"/>
    </row>
    <row r="45" spans="2:23" x14ac:dyDescent="0.25">
      <c r="B45" s="328"/>
      <c r="D45" s="334"/>
      <c r="E45" s="335"/>
      <c r="F45" s="55"/>
      <c r="G45" s="186"/>
      <c r="I45" s="56" t="s">
        <v>99</v>
      </c>
      <c r="J45" s="182">
        <f>IFERROR(AVERAGE(J39:K44),0)</f>
        <v>0</v>
      </c>
      <c r="K45" s="183"/>
      <c r="M45" s="189"/>
      <c r="O45" s="180"/>
      <c r="P45" s="181"/>
      <c r="S45" s="51"/>
      <c r="T45" s="60"/>
    </row>
    <row r="46" spans="2:23" x14ac:dyDescent="0.25">
      <c r="B46" s="328"/>
      <c r="G46" s="48"/>
      <c r="O46" s="59"/>
      <c r="P46" s="59"/>
    </row>
    <row r="47" spans="2:23" ht="15" customHeight="1" x14ac:dyDescent="0.25">
      <c r="B47" s="328"/>
      <c r="D47" s="336" t="str">
        <f>Matrix!D35</f>
        <v>REV</v>
      </c>
      <c r="E47" s="336"/>
      <c r="G47" s="202" t="str">
        <f>Matrix!G35</f>
        <v>Bonus or Penalty</v>
      </c>
      <c r="I47" s="204" t="s">
        <v>30</v>
      </c>
      <c r="J47" s="205" t="str">
        <f>IF(OR(Jul!J47="A",Aug!J47="A",Sep!J47="A",Oct!J47="A",Nov!J47="A",Dec!J47="A"),"A",IF(OR(Jul!J47="2nd Fail",Aug!J47="2nd Fail",Sep!J47="2nd Fail",Oct!J47="2nd Fail",Nov!J47="2nd Fail",Dec!J47="2nd Fail"),"2nd Fail",IF(OR(Jul!J47="1st Fail",Aug!J47="1st Fail",Dec!J47="1st Fail",Sep!J47="1st Fail",Oct!J47="1st Fail",Nov!J47="1st Fail"),"1st Fail","N/A")))</f>
        <v>N/A</v>
      </c>
      <c r="K47" s="206"/>
      <c r="M47" s="209">
        <f>IF(J47=W47,Matrix!M35,IF(J47=W51,Matrix!M36,IF(J47=W52,Matrix!M37,0)))</f>
        <v>0</v>
      </c>
      <c r="O47" s="211">
        <f>IF(M47=Matrix!M35,SUM(O12,O20,O28,O31,O39,O50,O58,O66)*0.25,IF(M47=Matrix!M36,Matrix!M36,IF(M47=Matrix!M37,Matrix!M37,0)))</f>
        <v>0</v>
      </c>
      <c r="P47" s="212"/>
      <c r="R47" s="51"/>
      <c r="W47" s="51" t="s">
        <v>31</v>
      </c>
    </row>
    <row r="48" spans="2:23" x14ac:dyDescent="0.25">
      <c r="B48" s="329"/>
      <c r="D48" s="336"/>
      <c r="E48" s="336"/>
      <c r="G48" s="203"/>
      <c r="I48" s="204"/>
      <c r="J48" s="207"/>
      <c r="K48" s="208"/>
      <c r="M48" s="210"/>
      <c r="O48" s="213"/>
      <c r="P48" s="214"/>
      <c r="W48" s="51" t="s">
        <v>32</v>
      </c>
    </row>
    <row r="49" spans="2:25" x14ac:dyDescent="0.25">
      <c r="B49" s="320"/>
      <c r="G49" s="48"/>
      <c r="O49" s="59"/>
      <c r="P49" s="59"/>
      <c r="W49" s="51" t="s">
        <v>33</v>
      </c>
    </row>
    <row r="50" spans="2:25" ht="15" customHeight="1" x14ac:dyDescent="0.25">
      <c r="B50" s="321" t="s">
        <v>37</v>
      </c>
      <c r="D50" s="337" t="str">
        <f>Matrix!D39</f>
        <v>Sales Vs Budget with Bonus</v>
      </c>
      <c r="E50" s="338"/>
      <c r="G50" s="184">
        <f>Matrix!G39</f>
        <v>0.25</v>
      </c>
      <c r="I50" s="56" t="s">
        <v>93</v>
      </c>
      <c r="J50" s="182" t="str">
        <f>IF(ISBLANK(Jul!K51),"",Jul!O51)</f>
        <v/>
      </c>
      <c r="K50" s="183"/>
      <c r="M50" s="199">
        <f>IF(J56="",0,IF(J56&gt;=3%,100,IF(J56&gt;=2%,75,IF(J56&gt;=1%,50,IF(J56&gt;=0,25,0)))))</f>
        <v>25</v>
      </c>
      <c r="O50" s="176">
        <f>J56</f>
        <v>0</v>
      </c>
      <c r="P50" s="177"/>
      <c r="S50" s="58" t="e">
        <f>J50/T6</f>
        <v>#VALUE!</v>
      </c>
      <c r="T50" s="58">
        <f>K50</f>
        <v>0</v>
      </c>
      <c r="U50" s="61" t="e">
        <f>(T50-S50)/S50</f>
        <v>#VALUE!</v>
      </c>
      <c r="W50" s="51" t="s">
        <v>38</v>
      </c>
    </row>
    <row r="51" spans="2:25" x14ac:dyDescent="0.25">
      <c r="B51" s="322"/>
      <c r="D51" s="339"/>
      <c r="E51" s="340"/>
      <c r="G51" s="185"/>
      <c r="I51" s="56" t="s">
        <v>94</v>
      </c>
      <c r="J51" s="182" t="str">
        <f>IF(ISBLANK(Aug!K51),"",Aug!O51)</f>
        <v/>
      </c>
      <c r="K51" s="183"/>
      <c r="M51" s="200"/>
      <c r="O51" s="178"/>
      <c r="P51" s="179"/>
      <c r="S51" s="58" t="e">
        <f>S50*2</f>
        <v>#VALUE!</v>
      </c>
      <c r="T51" s="58">
        <f>SUM(K50:K51)</f>
        <v>0</v>
      </c>
      <c r="U51" s="61" t="e">
        <f t="shared" ref="U51:U54" si="0">(T51-S51)/S51</f>
        <v>#VALUE!</v>
      </c>
      <c r="W51" s="51" t="s">
        <v>39</v>
      </c>
    </row>
    <row r="52" spans="2:25" x14ac:dyDescent="0.25">
      <c r="B52" s="322"/>
      <c r="D52" s="339"/>
      <c r="E52" s="340"/>
      <c r="G52" s="185"/>
      <c r="I52" s="56" t="s">
        <v>95</v>
      </c>
      <c r="J52" s="182" t="str">
        <f>IF(ISBLANK(Sep!K51),"",Sep!O51)</f>
        <v/>
      </c>
      <c r="K52" s="183"/>
      <c r="M52" s="200"/>
      <c r="O52" s="178"/>
      <c r="P52" s="179"/>
      <c r="S52" s="58" t="e">
        <f>S50*3</f>
        <v>#VALUE!</v>
      </c>
      <c r="T52" s="58">
        <f>SUM(K50:K52)</f>
        <v>0</v>
      </c>
      <c r="U52" s="61" t="e">
        <f t="shared" si="0"/>
        <v>#VALUE!</v>
      </c>
    </row>
    <row r="53" spans="2:25" x14ac:dyDescent="0.25">
      <c r="B53" s="322"/>
      <c r="D53" s="339"/>
      <c r="E53" s="340"/>
      <c r="G53" s="185"/>
      <c r="I53" s="56" t="s">
        <v>96</v>
      </c>
      <c r="J53" s="182" t="str">
        <f>IF(ISBLANK(Oct!K51),"",Oct!O51)</f>
        <v/>
      </c>
      <c r="K53" s="183"/>
      <c r="M53" s="200"/>
      <c r="O53" s="178"/>
      <c r="P53" s="179"/>
      <c r="S53" s="58" t="e">
        <f>S50*4</f>
        <v>#VALUE!</v>
      </c>
      <c r="T53" s="58">
        <f>SUM(K50:K53)</f>
        <v>0</v>
      </c>
      <c r="U53" s="61" t="e">
        <f t="shared" si="0"/>
        <v>#VALUE!</v>
      </c>
    </row>
    <row r="54" spans="2:25" x14ac:dyDescent="0.25">
      <c r="B54" s="322"/>
      <c r="D54" s="339"/>
      <c r="E54" s="340"/>
      <c r="G54" s="185"/>
      <c r="I54" s="56" t="s">
        <v>97</v>
      </c>
      <c r="J54" s="182" t="str">
        <f>IF(ISBLANK(Nov!K51),"",Nov!O51)</f>
        <v/>
      </c>
      <c r="K54" s="183"/>
      <c r="M54" s="200"/>
      <c r="O54" s="178"/>
      <c r="P54" s="179"/>
      <c r="S54" s="58" t="e">
        <f>S50*5</f>
        <v>#VALUE!</v>
      </c>
      <c r="T54" s="58">
        <f>SUM(K50:K54)</f>
        <v>0</v>
      </c>
      <c r="U54" s="61" t="e">
        <f t="shared" si="0"/>
        <v>#VALUE!</v>
      </c>
    </row>
    <row r="55" spans="2:25" x14ac:dyDescent="0.25">
      <c r="B55" s="322"/>
      <c r="D55" s="339"/>
      <c r="E55" s="340"/>
      <c r="G55" s="185"/>
      <c r="I55" s="56" t="s">
        <v>98</v>
      </c>
      <c r="J55" s="182" t="str">
        <f>IF(ISBLANK(Dec!K51),"",Dec!O51)</f>
        <v/>
      </c>
      <c r="K55" s="183"/>
      <c r="M55" s="200"/>
      <c r="O55" s="178"/>
      <c r="P55" s="179"/>
      <c r="S55" s="58"/>
      <c r="T55" s="58"/>
      <c r="U55" s="61"/>
    </row>
    <row r="56" spans="2:25" x14ac:dyDescent="0.25">
      <c r="B56" s="323"/>
      <c r="D56" s="341"/>
      <c r="E56" s="342"/>
      <c r="G56" s="186"/>
      <c r="I56" s="56" t="s">
        <v>99</v>
      </c>
      <c r="J56" s="182">
        <f>IFERROR(AVERAGE(J50:K55),0)</f>
        <v>0</v>
      </c>
      <c r="K56" s="183"/>
      <c r="M56" s="201"/>
      <c r="O56" s="180"/>
      <c r="P56" s="181"/>
    </row>
    <row r="57" spans="2:25" x14ac:dyDescent="0.25">
      <c r="B57" s="324"/>
      <c r="C57" s="48"/>
      <c r="D57" s="62"/>
      <c r="E57" s="62"/>
      <c r="G57" s="63"/>
      <c r="I57" s="64"/>
      <c r="J57" s="64"/>
      <c r="K57" s="64"/>
      <c r="M57" s="65"/>
      <c r="O57" s="66"/>
      <c r="P57" s="66"/>
    </row>
    <row r="58" spans="2:25" ht="15" customHeight="1" x14ac:dyDescent="0.25">
      <c r="B58" s="325" t="s">
        <v>42</v>
      </c>
      <c r="D58" s="343" t="str">
        <f>Matrix!D44</f>
        <v>Waste % Vs Budget</v>
      </c>
      <c r="E58" s="344"/>
      <c r="G58" s="184">
        <f>Matrix!G44</f>
        <v>0.1</v>
      </c>
      <c r="I58" s="56" t="s">
        <v>93</v>
      </c>
      <c r="J58" s="182" t="str">
        <f>IF(ISBLANK(Jul!K59),"",Jul!O59)</f>
        <v/>
      </c>
      <c r="K58" s="183"/>
      <c r="M58" s="217">
        <f>IFERROR(IF(U59=W61,Y61,IF(U59=W60,Y60,IF(U59=W59,Y59,IF(U59=W58,Y58,0)))),0)</f>
        <v>0</v>
      </c>
      <c r="O58" s="211">
        <f>J64</f>
        <v>0</v>
      </c>
      <c r="P58" s="212"/>
      <c r="S58" s="67">
        <f>IFERROR(K58*J58,0)</f>
        <v>0</v>
      </c>
      <c r="T58" s="51" t="s">
        <v>43</v>
      </c>
      <c r="U58" s="68" t="e">
        <f>SUM(J58:J62)/#REF!</f>
        <v>#REF!</v>
      </c>
      <c r="W58" s="51" t="s">
        <v>44</v>
      </c>
      <c r="X58" s="61">
        <v>7.0000000000000001E-3</v>
      </c>
      <c r="Y58" s="47" t="e">
        <f>IF($T$64&lt;=X58,100,IF($T$64&lt;=(X58+0.05%),75,IF($T$64&lt;=(X58+0.1%),50,IF($T$64&lt;=(X58+0.15%),25,0))))</f>
        <v>#DIV/0!</v>
      </c>
    </row>
    <row r="59" spans="2:25" ht="15" customHeight="1" x14ac:dyDescent="0.25">
      <c r="B59" s="325"/>
      <c r="D59" s="345"/>
      <c r="E59" s="346"/>
      <c r="G59" s="185"/>
      <c r="I59" s="56" t="s">
        <v>94</v>
      </c>
      <c r="J59" s="182" t="str">
        <f>IF(ISBLANK(Aug!K67),"",Aug!O67)</f>
        <v/>
      </c>
      <c r="K59" s="183"/>
      <c r="M59" s="218"/>
      <c r="O59" s="215"/>
      <c r="P59" s="216"/>
      <c r="S59" s="67">
        <f t="shared" ref="S59:S61" si="1">IFERROR(K59*J59,0)</f>
        <v>0</v>
      </c>
      <c r="T59" s="51" t="s">
        <v>45</v>
      </c>
      <c r="U59" s="69" t="e">
        <f>IF(U58&gt;100000,"Ultra",IF(U58&gt;80000,"High",IF(U58&gt;60000,"Medium","Low")))</f>
        <v>#REF!</v>
      </c>
      <c r="W59" s="51" t="s">
        <v>46</v>
      </c>
      <c r="X59" s="61">
        <v>8.9999999999999993E-3</v>
      </c>
      <c r="Y59" s="47" t="e">
        <f>IF($T$64&lt;=X59,100,IF($T$64&lt;=(X59+0.05%),75,IF($T$64&lt;=(X59+0.1%),50,IF($T$64&lt;=(X59+0.15%),25,0))))</f>
        <v>#DIV/0!</v>
      </c>
    </row>
    <row r="60" spans="2:25" ht="15" customHeight="1" x14ac:dyDescent="0.25">
      <c r="B60" s="325"/>
      <c r="D60" s="345"/>
      <c r="E60" s="346"/>
      <c r="G60" s="185"/>
      <c r="I60" s="56" t="s">
        <v>95</v>
      </c>
      <c r="J60" s="182" t="str">
        <f>IF(ISBLANK(Sep!K67),"",Sep!O67)</f>
        <v/>
      </c>
      <c r="K60" s="183"/>
      <c r="M60" s="218"/>
      <c r="O60" s="215"/>
      <c r="P60" s="216"/>
      <c r="S60" s="67">
        <f t="shared" si="1"/>
        <v>0</v>
      </c>
      <c r="U60" s="69"/>
      <c r="W60" s="51" t="s">
        <v>47</v>
      </c>
      <c r="X60" s="61">
        <v>1.0999999999999999E-2</v>
      </c>
      <c r="Y60" s="47" t="e">
        <f>IF($T$64&lt;=X60,100,IF($T$64&lt;=(X60+0.05%),75,IF($T$64&lt;=(X60+0.1%),50,IF($T$64&lt;=(X60+0.15%),25,0))))</f>
        <v>#DIV/0!</v>
      </c>
    </row>
    <row r="61" spans="2:25" x14ac:dyDescent="0.25">
      <c r="B61" s="325"/>
      <c r="D61" s="345"/>
      <c r="E61" s="346"/>
      <c r="G61" s="185"/>
      <c r="I61" s="56" t="s">
        <v>96</v>
      </c>
      <c r="J61" s="182" t="str">
        <f>IF(ISBLANK(Oct!K67),"",Oct!O67)</f>
        <v/>
      </c>
      <c r="K61" s="183"/>
      <c r="M61" s="218"/>
      <c r="O61" s="215"/>
      <c r="P61" s="216"/>
      <c r="S61" s="67">
        <f t="shared" si="1"/>
        <v>0</v>
      </c>
      <c r="U61" s="69"/>
      <c r="W61" s="51" t="s">
        <v>48</v>
      </c>
      <c r="X61" s="61">
        <v>1.2999999999999999E-2</v>
      </c>
      <c r="Y61" s="47" t="e">
        <f>IF($T$64&lt;=X61,100,IF($T$64&lt;=(X61+0.05%),75,IF($T$64&lt;=(X61+0.1%),50,IF($T$64&lt;=(X61+0.15%),25,0))))</f>
        <v>#DIV/0!</v>
      </c>
    </row>
    <row r="62" spans="2:25" x14ac:dyDescent="0.25">
      <c r="B62" s="325"/>
      <c r="D62" s="345"/>
      <c r="E62" s="346"/>
      <c r="G62" s="185"/>
      <c r="I62" s="56" t="s">
        <v>97</v>
      </c>
      <c r="J62" s="182" t="str">
        <f>IF(ISBLANK(Nov!K67),"",Nov!O67)</f>
        <v/>
      </c>
      <c r="K62" s="183"/>
      <c r="M62" s="218"/>
      <c r="O62" s="215"/>
      <c r="P62" s="216"/>
      <c r="S62" s="67"/>
      <c r="U62" s="69"/>
      <c r="W62" s="51"/>
      <c r="X62" s="61"/>
    </row>
    <row r="63" spans="2:25" x14ac:dyDescent="0.25">
      <c r="B63" s="325"/>
      <c r="D63" s="345"/>
      <c r="E63" s="346"/>
      <c r="G63" s="185"/>
      <c r="I63" s="56" t="s">
        <v>98</v>
      </c>
      <c r="J63" s="182" t="str">
        <f>IF(ISBLANK(Dec!K67),"",Dec!O67)</f>
        <v/>
      </c>
      <c r="K63" s="183"/>
      <c r="M63" s="218"/>
      <c r="O63" s="215"/>
      <c r="P63" s="216"/>
      <c r="S63" s="67"/>
      <c r="U63" s="69"/>
      <c r="W63" s="51"/>
      <c r="X63" s="61"/>
    </row>
    <row r="64" spans="2:25" x14ac:dyDescent="0.25">
      <c r="B64" s="325"/>
      <c r="D64" s="347"/>
      <c r="E64" s="348"/>
      <c r="G64" s="186"/>
      <c r="I64" s="56" t="s">
        <v>99</v>
      </c>
      <c r="J64" s="182">
        <f>IFERROR(AVERAGE(J58:K63),0)</f>
        <v>0</v>
      </c>
      <c r="K64" s="183"/>
      <c r="M64" s="219"/>
      <c r="O64" s="213"/>
      <c r="P64" s="214"/>
      <c r="S64" s="67">
        <f>SUM(S58:S61)</f>
        <v>0</v>
      </c>
      <c r="T64" s="61" t="e">
        <f>S64/SUM(J58:J62)</f>
        <v>#DIV/0!</v>
      </c>
      <c r="U64" s="69"/>
    </row>
    <row r="65" spans="2:22" x14ac:dyDescent="0.25">
      <c r="B65" s="325"/>
      <c r="G65" s="48"/>
    </row>
    <row r="66" spans="2:22" ht="15" customHeight="1" x14ac:dyDescent="0.25">
      <c r="B66" s="325"/>
      <c r="D66" s="343" t="str">
        <f>Matrix!D48</f>
        <v>Total Labour Vs Budget</v>
      </c>
      <c r="E66" s="344"/>
      <c r="G66" s="184">
        <f>Matrix!G48</f>
        <v>0.15</v>
      </c>
      <c r="I66" s="56" t="s">
        <v>93</v>
      </c>
      <c r="J66" s="182" t="str">
        <f>IF(ISBLANK(Jul!J67),"",Jul!O67)</f>
        <v/>
      </c>
      <c r="K66" s="183"/>
      <c r="M66" s="217">
        <f>IFERROR(IF(J72&lt;=-1.5%,100,IF(J72&lt;=-1%,75,IF(J72&lt;=-0.5%,50,IF(J72&lt;=0%,25,0)))),0)</f>
        <v>25</v>
      </c>
      <c r="O66" s="211">
        <f>J72</f>
        <v>0</v>
      </c>
      <c r="P66" s="212"/>
      <c r="S66" s="58" t="str">
        <f>J58</f>
        <v/>
      </c>
      <c r="T66" s="58" t="e">
        <f>K66*J58</f>
        <v>#VALUE!</v>
      </c>
      <c r="U66" s="61" t="e">
        <f>T66/S66</f>
        <v>#VALUE!</v>
      </c>
      <c r="V66" s="61" t="e">
        <f>U66-$J$66</f>
        <v>#VALUE!</v>
      </c>
    </row>
    <row r="67" spans="2:22" ht="15" customHeight="1" x14ac:dyDescent="0.25">
      <c r="B67" s="325"/>
      <c r="D67" s="345"/>
      <c r="E67" s="346"/>
      <c r="G67" s="185"/>
      <c r="I67" s="56" t="s">
        <v>94</v>
      </c>
      <c r="J67" s="182" t="str">
        <f>IF(ISBLANK(Aug!J75),"",Aug!O75)</f>
        <v/>
      </c>
      <c r="K67" s="183"/>
      <c r="M67" s="218"/>
      <c r="O67" s="215"/>
      <c r="P67" s="216"/>
      <c r="S67" s="58">
        <f>SUM(J58:J59)</f>
        <v>0</v>
      </c>
      <c r="T67" s="58" t="e">
        <f>K67*J59</f>
        <v>#VALUE!</v>
      </c>
      <c r="U67" s="61" t="e">
        <f>SUM(T66:T67)/S67</f>
        <v>#VALUE!</v>
      </c>
      <c r="V67" s="61" t="e">
        <f t="shared" ref="V67:V70" si="2">U67-$J$66</f>
        <v>#VALUE!</v>
      </c>
    </row>
    <row r="68" spans="2:22" ht="15" customHeight="1" x14ac:dyDescent="0.25">
      <c r="B68" s="325"/>
      <c r="D68" s="345"/>
      <c r="E68" s="346"/>
      <c r="G68" s="185"/>
      <c r="I68" s="56" t="s">
        <v>95</v>
      </c>
      <c r="J68" s="182" t="str">
        <f>IF(ISBLANK(Sep!J75),"",Sep!O75)</f>
        <v/>
      </c>
      <c r="K68" s="183"/>
      <c r="M68" s="218"/>
      <c r="O68" s="215"/>
      <c r="P68" s="216"/>
      <c r="S68" s="58">
        <f>SUM(J58:J60)</f>
        <v>0</v>
      </c>
      <c r="T68" s="58" t="e">
        <f>K68*J60</f>
        <v>#VALUE!</v>
      </c>
      <c r="U68" s="61" t="e">
        <f>SUM(T66:T68)/S68</f>
        <v>#VALUE!</v>
      </c>
      <c r="V68" s="61" t="e">
        <f t="shared" si="2"/>
        <v>#VALUE!</v>
      </c>
    </row>
    <row r="69" spans="2:22" x14ac:dyDescent="0.25">
      <c r="B69" s="325"/>
      <c r="D69" s="345"/>
      <c r="E69" s="346"/>
      <c r="G69" s="185"/>
      <c r="I69" s="56" t="s">
        <v>96</v>
      </c>
      <c r="J69" s="182" t="str">
        <f>IF(ISBLANK(Oct!J75),"",Oct!O75)</f>
        <v/>
      </c>
      <c r="K69" s="183"/>
      <c r="M69" s="218"/>
      <c r="O69" s="215"/>
      <c r="P69" s="216"/>
      <c r="S69" s="58">
        <f>SUM(J58:J61)</f>
        <v>0</v>
      </c>
      <c r="T69" s="58" t="e">
        <f>K69*J61</f>
        <v>#VALUE!</v>
      </c>
      <c r="U69" s="61" t="e">
        <f>SUM(T66:T69)/S69</f>
        <v>#VALUE!</v>
      </c>
      <c r="V69" s="61" t="e">
        <f t="shared" si="2"/>
        <v>#VALUE!</v>
      </c>
    </row>
    <row r="70" spans="2:22" x14ac:dyDescent="0.25">
      <c r="B70" s="325"/>
      <c r="D70" s="345"/>
      <c r="E70" s="346"/>
      <c r="G70" s="185"/>
      <c r="I70" s="56" t="s">
        <v>97</v>
      </c>
      <c r="J70" s="182" t="str">
        <f>IF(ISBLANK(Nov!J75),"",Nov!O75)</f>
        <v/>
      </c>
      <c r="K70" s="183"/>
      <c r="M70" s="218"/>
      <c r="O70" s="215"/>
      <c r="P70" s="216"/>
      <c r="S70" s="58">
        <f>SUM(J58:J62)</f>
        <v>0</v>
      </c>
      <c r="T70" s="58" t="e">
        <f>K70*J62</f>
        <v>#VALUE!</v>
      </c>
      <c r="U70" s="61" t="e">
        <f>SUM(T66:T70)/S70</f>
        <v>#VALUE!</v>
      </c>
      <c r="V70" s="61" t="e">
        <f t="shared" si="2"/>
        <v>#VALUE!</v>
      </c>
    </row>
    <row r="71" spans="2:22" x14ac:dyDescent="0.25">
      <c r="B71" s="325"/>
      <c r="D71" s="345"/>
      <c r="E71" s="346"/>
      <c r="G71" s="185"/>
      <c r="I71" s="56" t="s">
        <v>98</v>
      </c>
      <c r="J71" s="182" t="str">
        <f>IF(ISBLANK(Dec!J75),"",Dec!O75)</f>
        <v/>
      </c>
      <c r="K71" s="183"/>
      <c r="M71" s="218"/>
      <c r="O71" s="215"/>
      <c r="P71" s="216"/>
      <c r="S71" s="58"/>
      <c r="T71" s="58"/>
      <c r="U71" s="61"/>
      <c r="V71" s="61"/>
    </row>
    <row r="72" spans="2:22" x14ac:dyDescent="0.25">
      <c r="B72" s="325"/>
      <c r="D72" s="347"/>
      <c r="E72" s="348"/>
      <c r="G72" s="186"/>
      <c r="I72" s="56" t="s">
        <v>99</v>
      </c>
      <c r="J72" s="182">
        <f>IFERROR(AVERAGE(J66:K71),0)</f>
        <v>0</v>
      </c>
      <c r="K72" s="183"/>
      <c r="M72" s="219"/>
      <c r="O72" s="213"/>
      <c r="P72" s="214"/>
    </row>
    <row r="73" spans="2:22" x14ac:dyDescent="0.25">
      <c r="B73" s="325"/>
      <c r="G73" s="48"/>
    </row>
    <row r="74" spans="2:22" ht="15" customHeight="1" x14ac:dyDescent="0.25">
      <c r="B74" s="325"/>
      <c r="C74" s="48"/>
      <c r="D74" s="349" t="str">
        <f>Matrix!D52</f>
        <v>EBITDA Vs Budget</v>
      </c>
      <c r="E74" s="349"/>
      <c r="G74" s="220" t="str">
        <f>Matrix!G52</f>
        <v>Qualifier</v>
      </c>
      <c r="H74" s="70"/>
      <c r="I74" s="56" t="s">
        <v>93</v>
      </c>
      <c r="J74" s="236" t="str">
        <f>IF(ISBLANK(Jul!K78),"",Jul!J80)</f>
        <v/>
      </c>
      <c r="K74" s="237"/>
      <c r="L74" s="70"/>
      <c r="M74" s="221"/>
      <c r="N74" s="71"/>
      <c r="O74" s="350"/>
      <c r="P74" s="351"/>
      <c r="S74" s="51" t="s">
        <v>34</v>
      </c>
      <c r="T74" s="47" t="e">
        <f>SUM(Jul!J78,#REF!,#REF!,#REF!,#REF!,#REF!)</f>
        <v>#REF!</v>
      </c>
    </row>
    <row r="75" spans="2:22" ht="15" customHeight="1" x14ac:dyDescent="0.25">
      <c r="B75" s="325"/>
      <c r="C75" s="48"/>
      <c r="D75" s="349"/>
      <c r="E75" s="349"/>
      <c r="G75" s="220"/>
      <c r="H75" s="70"/>
      <c r="I75" s="56" t="s">
        <v>94</v>
      </c>
      <c r="J75" s="236" t="str">
        <f>IF(ISBLANK(Aug!K86),"",Aug!J88)</f>
        <v/>
      </c>
      <c r="K75" s="237"/>
      <c r="L75" s="70"/>
      <c r="M75" s="221"/>
      <c r="N75" s="71"/>
      <c r="O75" s="232"/>
      <c r="P75" s="233"/>
      <c r="S75" s="51" t="s">
        <v>19</v>
      </c>
      <c r="T75" s="47" t="e">
        <f>SUM(Jul!K78,#REF!,#REF!,#REF!,#REF!,#REF!)</f>
        <v>#REF!</v>
      </c>
    </row>
    <row r="76" spans="2:22" ht="15" customHeight="1" x14ac:dyDescent="0.25">
      <c r="B76" s="325"/>
      <c r="C76" s="48"/>
      <c r="D76" s="349"/>
      <c r="E76" s="349"/>
      <c r="G76" s="220"/>
      <c r="H76" s="70"/>
      <c r="I76" s="56" t="s">
        <v>95</v>
      </c>
      <c r="J76" s="236" t="str">
        <f>IF(ISBLANK(Sep!K86),"",Sep!J88)</f>
        <v/>
      </c>
      <c r="K76" s="237"/>
      <c r="L76" s="70"/>
      <c r="M76" s="221"/>
      <c r="N76" s="71"/>
      <c r="O76" s="232"/>
      <c r="P76" s="233"/>
    </row>
    <row r="77" spans="2:22" ht="15" customHeight="1" x14ac:dyDescent="0.25">
      <c r="B77" s="325"/>
      <c r="C77" s="48"/>
      <c r="D77" s="349"/>
      <c r="E77" s="349"/>
      <c r="G77" s="220"/>
      <c r="H77" s="70"/>
      <c r="I77" s="56" t="s">
        <v>96</v>
      </c>
      <c r="J77" s="236" t="str">
        <f>IF(ISBLANK(Oct!K86),"",Oct!J88)</f>
        <v/>
      </c>
      <c r="K77" s="237"/>
      <c r="L77" s="70"/>
      <c r="M77" s="221"/>
      <c r="N77" s="71"/>
      <c r="O77" s="232"/>
      <c r="P77" s="233"/>
    </row>
    <row r="78" spans="2:22" ht="15" customHeight="1" x14ac:dyDescent="0.25">
      <c r="B78" s="325"/>
      <c r="C78" s="48"/>
      <c r="D78" s="349"/>
      <c r="E78" s="349"/>
      <c r="G78" s="220"/>
      <c r="H78" s="70"/>
      <c r="I78" s="56" t="s">
        <v>97</v>
      </c>
      <c r="J78" s="236" t="str">
        <f>IF(ISBLANK(Nov!K86),"",Nov!J88)</f>
        <v/>
      </c>
      <c r="K78" s="237"/>
      <c r="L78" s="70"/>
      <c r="M78" s="221"/>
      <c r="N78" s="71"/>
      <c r="O78" s="232"/>
      <c r="P78" s="233"/>
    </row>
    <row r="79" spans="2:22" ht="15" customHeight="1" x14ac:dyDescent="0.25">
      <c r="B79" s="325"/>
      <c r="C79" s="48"/>
      <c r="D79" s="349"/>
      <c r="E79" s="349"/>
      <c r="G79" s="220"/>
      <c r="H79" s="70"/>
      <c r="I79" s="56" t="s">
        <v>98</v>
      </c>
      <c r="J79" s="236" t="str">
        <f>IF(ISBLANK(Dec!K86),"",Dec!J88)</f>
        <v/>
      </c>
      <c r="K79" s="237"/>
      <c r="L79" s="70"/>
      <c r="M79" s="221"/>
      <c r="N79" s="71"/>
      <c r="O79" s="232"/>
      <c r="P79" s="233"/>
    </row>
    <row r="80" spans="2:22" ht="15" customHeight="1" x14ac:dyDescent="0.25">
      <c r="B80" s="325"/>
      <c r="C80" s="48"/>
      <c r="D80" s="349"/>
      <c r="E80" s="349"/>
      <c r="G80" s="220"/>
      <c r="H80" s="70"/>
      <c r="I80" s="56" t="s">
        <v>17</v>
      </c>
      <c r="J80" s="236" t="str">
        <f>IFERROR((SUM(Jul!K78,#REF!,#REF!,#REF!,#REF!,#REF!)-SUM(Jul!J78,#REF!,#REF!,#REF!,#REF!,#REF!))/ABS(SUM(Jul!J78,#REF!,#REF!,#REF!,#REF!,#REF!)),"")</f>
        <v/>
      </c>
      <c r="K80" s="237"/>
      <c r="L80" s="70"/>
      <c r="M80" s="222"/>
      <c r="N80" s="71"/>
      <c r="O80" s="234"/>
      <c r="P80" s="235"/>
    </row>
    <row r="81" spans="2:19" x14ac:dyDescent="0.25">
      <c r="B81" s="320"/>
    </row>
    <row r="82" spans="2:19" ht="15" customHeight="1" x14ac:dyDescent="0.25">
      <c r="B82" s="326" t="s">
        <v>17</v>
      </c>
      <c r="D82" s="223">
        <f>IF(J47=W51,"DNQ",SUM(O12,O20,O28,O31,O39,O47,O50,O58,O66))</f>
        <v>0</v>
      </c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5"/>
      <c r="S82" s="72"/>
    </row>
    <row r="83" spans="2:19" ht="15" customHeight="1" x14ac:dyDescent="0.25">
      <c r="B83" s="326"/>
      <c r="D83" s="226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8"/>
    </row>
    <row r="84" spans="2:19" ht="15" customHeight="1" x14ac:dyDescent="0.25">
      <c r="B84" s="326"/>
      <c r="D84" s="226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8"/>
    </row>
    <row r="85" spans="2:19" ht="15" customHeight="1" x14ac:dyDescent="0.25">
      <c r="B85" s="326"/>
      <c r="D85" s="226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8"/>
    </row>
    <row r="86" spans="2:19" ht="15" customHeight="1" x14ac:dyDescent="0.25">
      <c r="B86" s="326"/>
      <c r="D86" s="229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1"/>
    </row>
  </sheetData>
  <mergeCells count="114">
    <mergeCell ref="D74:E80"/>
    <mergeCell ref="G74:G80"/>
    <mergeCell ref="M74:M80"/>
    <mergeCell ref="B82:B86"/>
    <mergeCell ref="D82:P86"/>
    <mergeCell ref="O74:P80"/>
    <mergeCell ref="J74:K74"/>
    <mergeCell ref="J75:K75"/>
    <mergeCell ref="J76:K76"/>
    <mergeCell ref="J77:K77"/>
    <mergeCell ref="J78:K78"/>
    <mergeCell ref="J79:K79"/>
    <mergeCell ref="J80:K80"/>
    <mergeCell ref="B58:B80"/>
    <mergeCell ref="D58:E64"/>
    <mergeCell ref="G58:G64"/>
    <mergeCell ref="D66:E72"/>
    <mergeCell ref="G66:G72"/>
    <mergeCell ref="M66:M72"/>
    <mergeCell ref="O66:P72"/>
    <mergeCell ref="J67:K67"/>
    <mergeCell ref="J68:K68"/>
    <mergeCell ref="J69:K69"/>
    <mergeCell ref="J70:K70"/>
    <mergeCell ref="J71:K71"/>
    <mergeCell ref="J72:K72"/>
    <mergeCell ref="J66:K66"/>
    <mergeCell ref="M58:M64"/>
    <mergeCell ref="O58:P64"/>
    <mergeCell ref="J59:K59"/>
    <mergeCell ref="J60:K60"/>
    <mergeCell ref="J61:K61"/>
    <mergeCell ref="J62:K62"/>
    <mergeCell ref="J63:K63"/>
    <mergeCell ref="J64:K64"/>
    <mergeCell ref="J58:K58"/>
    <mergeCell ref="O47:P48"/>
    <mergeCell ref="B50:B56"/>
    <mergeCell ref="D50:E56"/>
    <mergeCell ref="G50:G56"/>
    <mergeCell ref="J50:K50"/>
    <mergeCell ref="M50:M56"/>
    <mergeCell ref="O50:P56"/>
    <mergeCell ref="J51:K51"/>
    <mergeCell ref="D47:E48"/>
    <mergeCell ref="G47:G48"/>
    <mergeCell ref="I47:I48"/>
    <mergeCell ref="J47:K48"/>
    <mergeCell ref="J52:K52"/>
    <mergeCell ref="J53:K53"/>
    <mergeCell ref="J54:K54"/>
    <mergeCell ref="J55:K55"/>
    <mergeCell ref="J56:K56"/>
    <mergeCell ref="B31:B48"/>
    <mergeCell ref="D31:E37"/>
    <mergeCell ref="G31:G37"/>
    <mergeCell ref="D39:E45"/>
    <mergeCell ref="G39:G45"/>
    <mergeCell ref="M47:M48"/>
    <mergeCell ref="O39:P45"/>
    <mergeCell ref="J40:K40"/>
    <mergeCell ref="J41:K41"/>
    <mergeCell ref="J42:K42"/>
    <mergeCell ref="J43:K43"/>
    <mergeCell ref="J44:K44"/>
    <mergeCell ref="J45:K45"/>
    <mergeCell ref="O31:P37"/>
    <mergeCell ref="J32:K32"/>
    <mergeCell ref="J33:K33"/>
    <mergeCell ref="J34:K34"/>
    <mergeCell ref="J35:K35"/>
    <mergeCell ref="J36:K36"/>
    <mergeCell ref="J37:K37"/>
    <mergeCell ref="J31:K31"/>
    <mergeCell ref="M31:M37"/>
    <mergeCell ref="J39:K39"/>
    <mergeCell ref="M39:M45"/>
    <mergeCell ref="O28:P29"/>
    <mergeCell ref="M20:M26"/>
    <mergeCell ref="O20:P26"/>
    <mergeCell ref="J21:K21"/>
    <mergeCell ref="J22:K22"/>
    <mergeCell ref="J23:K23"/>
    <mergeCell ref="J24:K24"/>
    <mergeCell ref="J25:K25"/>
    <mergeCell ref="J26:K26"/>
    <mergeCell ref="J28:K29"/>
    <mergeCell ref="B12:B29"/>
    <mergeCell ref="D12:E18"/>
    <mergeCell ref="G12:G18"/>
    <mergeCell ref="J12:K12"/>
    <mergeCell ref="M12:M18"/>
    <mergeCell ref="D20:E26"/>
    <mergeCell ref="G20:G26"/>
    <mergeCell ref="J20:K20"/>
    <mergeCell ref="D28:E29"/>
    <mergeCell ref="G28:G29"/>
    <mergeCell ref="M28:M29"/>
    <mergeCell ref="I28:I29"/>
    <mergeCell ref="G3:P4"/>
    <mergeCell ref="D6:E6"/>
    <mergeCell ref="G6:P6"/>
    <mergeCell ref="D8:E8"/>
    <mergeCell ref="G8:P8"/>
    <mergeCell ref="D10:E10"/>
    <mergeCell ref="I10:K10"/>
    <mergeCell ref="O10:P10"/>
    <mergeCell ref="O12:P18"/>
    <mergeCell ref="J13:K13"/>
    <mergeCell ref="J14:K14"/>
    <mergeCell ref="J15:K15"/>
    <mergeCell ref="J16:K16"/>
    <mergeCell ref="J17:K17"/>
    <mergeCell ref="J18:K18"/>
  </mergeCells>
  <conditionalFormatting sqref="I28">
    <cfRule type="duplicateValues" dxfId="265" priority="3"/>
  </conditionalFormatting>
  <printOptions horizontalCentered="1" verticalCentered="1"/>
  <pageMargins left="0.70866141732283472" right="0.70866141732283472" top="0.35433070866141736" bottom="0.35433070866141736" header="0.31496062992125984" footer="0.31496062992125984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7"/>
  <sheetViews>
    <sheetView workbookViewId="0">
      <selection activeCell="M16" sqref="M16"/>
    </sheetView>
  </sheetViews>
  <sheetFormatPr defaultRowHeight="15" x14ac:dyDescent="0.25"/>
  <cols>
    <col min="2" max="3" width="15.140625" customWidth="1"/>
  </cols>
  <sheetData>
    <row r="2" spans="1:13" x14ac:dyDescent="0.25">
      <c r="B2" s="238" t="s">
        <v>137</v>
      </c>
      <c r="C2" s="238"/>
      <c r="D2" s="238" t="s">
        <v>116</v>
      </c>
      <c r="E2" s="238"/>
      <c r="F2" s="238" t="s">
        <v>138</v>
      </c>
      <c r="G2" s="238"/>
      <c r="H2" s="238" t="s">
        <v>139</v>
      </c>
      <c r="I2" s="238"/>
      <c r="J2" s="238" t="s">
        <v>37</v>
      </c>
      <c r="K2" s="238"/>
      <c r="L2" s="89"/>
      <c r="M2" s="89"/>
    </row>
    <row r="3" spans="1:13" x14ac:dyDescent="0.25">
      <c r="B3" s="87" t="s">
        <v>46</v>
      </c>
      <c r="C3" s="87" t="s">
        <v>48</v>
      </c>
      <c r="D3" s="87" t="s">
        <v>46</v>
      </c>
      <c r="E3" s="87" t="s">
        <v>48</v>
      </c>
      <c r="F3" s="87" t="s">
        <v>46</v>
      </c>
      <c r="G3" s="87" t="s">
        <v>48</v>
      </c>
      <c r="H3" s="87" t="s">
        <v>46</v>
      </c>
      <c r="I3" s="87" t="s">
        <v>48</v>
      </c>
      <c r="J3" s="87" t="s">
        <v>46</v>
      </c>
      <c r="K3" s="87" t="s">
        <v>48</v>
      </c>
      <c r="L3" s="87"/>
      <c r="M3" s="87"/>
    </row>
    <row r="4" spans="1:13" x14ac:dyDescent="0.25">
      <c r="A4">
        <v>1</v>
      </c>
      <c r="B4" s="87">
        <v>3.58</v>
      </c>
      <c r="C4" s="87">
        <v>0</v>
      </c>
      <c r="D4" s="87"/>
      <c r="E4" s="87">
        <v>55</v>
      </c>
      <c r="F4" s="88">
        <v>1</v>
      </c>
      <c r="G4" s="88">
        <v>0.85</v>
      </c>
      <c r="H4" s="88">
        <v>1</v>
      </c>
      <c r="I4" s="88">
        <v>0.95</v>
      </c>
      <c r="J4" s="88"/>
      <c r="K4" s="88">
        <v>0.05</v>
      </c>
      <c r="M4" s="88"/>
    </row>
    <row r="5" spans="1:13" x14ac:dyDescent="0.25">
      <c r="A5">
        <v>2</v>
      </c>
      <c r="B5" s="87">
        <v>5.25</v>
      </c>
      <c r="C5" s="87">
        <v>3.59</v>
      </c>
      <c r="D5" s="87">
        <v>54</v>
      </c>
      <c r="E5" s="87">
        <v>49</v>
      </c>
      <c r="F5" s="88">
        <v>0.84989999999999999</v>
      </c>
      <c r="G5" s="88">
        <v>0.8</v>
      </c>
      <c r="H5" s="88">
        <v>0.94989999999999997</v>
      </c>
      <c r="I5" s="88">
        <v>0.85</v>
      </c>
      <c r="J5" s="88">
        <v>4.99E-2</v>
      </c>
      <c r="K5" s="88">
        <v>0</v>
      </c>
    </row>
    <row r="6" spans="1:13" x14ac:dyDescent="0.25">
      <c r="A6">
        <v>3</v>
      </c>
      <c r="B6" s="87">
        <v>7.44</v>
      </c>
      <c r="C6" s="87">
        <v>5.26</v>
      </c>
      <c r="D6" s="87">
        <v>48</v>
      </c>
      <c r="E6" s="87">
        <v>41</v>
      </c>
      <c r="F6" s="88">
        <v>0.79990000000000006</v>
      </c>
      <c r="G6" s="88">
        <v>0.75</v>
      </c>
      <c r="H6" s="88">
        <v>0.84989999999999999</v>
      </c>
      <c r="I6" s="88">
        <v>0.75</v>
      </c>
      <c r="J6" s="88">
        <v>0</v>
      </c>
      <c r="K6" s="88">
        <v>0</v>
      </c>
    </row>
    <row r="7" spans="1:13" x14ac:dyDescent="0.25">
      <c r="A7">
        <v>4</v>
      </c>
      <c r="B7" s="87"/>
      <c r="C7" s="87">
        <v>7.45</v>
      </c>
      <c r="D7" s="87">
        <v>40</v>
      </c>
      <c r="E7" s="87"/>
      <c r="F7" s="88">
        <v>0.74990000000000001</v>
      </c>
      <c r="G7" s="88">
        <v>0</v>
      </c>
      <c r="H7" s="88">
        <v>0.75</v>
      </c>
      <c r="I7" s="88">
        <v>0</v>
      </c>
      <c r="J7" s="88"/>
      <c r="K7" s="88">
        <v>-1E-4</v>
      </c>
    </row>
  </sheetData>
  <mergeCells count="5"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AC10" sqref="AC10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81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4</v>
      </c>
    </row>
    <row r="7" spans="1:20" ht="5.25" customHeight="1" x14ac:dyDescent="0.25">
      <c r="A7" s="1"/>
      <c r="B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8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" t="s">
        <v>6</v>
      </c>
      <c r="H10" s="1"/>
      <c r="I10" s="117" t="s">
        <v>7</v>
      </c>
      <c r="J10" s="117"/>
      <c r="K10" s="117"/>
      <c r="L10" s="1"/>
      <c r="M10" s="9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13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13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13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13" t="s">
        <v>15</v>
      </c>
      <c r="J16" s="242"/>
      <c r="K16" s="243"/>
      <c r="L16" s="1"/>
      <c r="M16" s="247"/>
      <c r="O16" s="250"/>
      <c r="P16" s="251"/>
    </row>
    <row r="17" spans="1:20" ht="15" hidden="1" customHeight="1" x14ac:dyDescent="0.25">
      <c r="A17" s="1"/>
      <c r="B17" s="241"/>
      <c r="C17" s="1"/>
      <c r="D17" s="100"/>
      <c r="E17" s="100"/>
      <c r="F17" s="12"/>
      <c r="G17" s="102"/>
      <c r="H17" s="1"/>
      <c r="I17" s="13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13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13" t="s">
        <v>18</v>
      </c>
      <c r="K20" s="13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13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13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13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13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hidden="1" customHeight="1" x14ac:dyDescent="0.25">
      <c r="B25" s="241"/>
      <c r="D25" s="100"/>
      <c r="E25" s="100"/>
      <c r="G25" s="102"/>
      <c r="I25" s="13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13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IF(ISBLANK(Dec!J28),"Complete in December",Dec!J28)</f>
        <v>Complete in December</v>
      </c>
      <c r="K28" s="196"/>
      <c r="L28" s="1"/>
      <c r="M28" s="191">
        <f>IF(J28="Complete in December",0,IF(J28&gt;=Benchmarks!I4,Matrix!M20,IF(J28&gt;=Benchmarks!I5,Matrix!M21,IF(J28&gt;=Benchmarks!I6,Matrix!M22,Matrix!M23))))</f>
        <v>0</v>
      </c>
      <c r="O28" s="248">
        <f>M28*$G$28</f>
        <v>0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13" t="s">
        <v>25</v>
      </c>
      <c r="K31" s="13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13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13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13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13" t="s">
        <v>15</v>
      </c>
      <c r="J35" s="18"/>
      <c r="K35" s="18"/>
      <c r="M35" s="264"/>
      <c r="O35" s="250"/>
      <c r="P35" s="251"/>
    </row>
    <row r="36" spans="2:23" hidden="1" x14ac:dyDescent="0.25">
      <c r="B36" s="267"/>
      <c r="D36" s="126"/>
      <c r="E36" s="127"/>
      <c r="F36" s="12"/>
      <c r="G36" s="102"/>
      <c r="I36" s="13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13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13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13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13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13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hidden="1" customHeight="1" x14ac:dyDescent="0.25">
      <c r="B44" s="267"/>
      <c r="D44" s="126"/>
      <c r="E44" s="127"/>
      <c r="F44" s="12"/>
      <c r="G44" s="102"/>
      <c r="I44" s="13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13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13" t="s">
        <v>34</v>
      </c>
      <c r="K50" s="13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13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13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13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13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hidden="1" x14ac:dyDescent="0.25">
      <c r="B55" s="259"/>
      <c r="D55" s="142"/>
      <c r="E55" s="143"/>
      <c r="G55" s="102"/>
      <c r="I55" s="13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13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13" t="s">
        <v>34</v>
      </c>
      <c r="K58" s="13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13" t="s">
        <v>12</v>
      </c>
      <c r="J59" s="286"/>
      <c r="K59" s="29"/>
      <c r="M59" s="279">
        <f>IF(J64="",0,IF(J64&lt;J59,Matrix!M44,IF(Jul!J64=J59,Matrix!M45,Matrix!M46)))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13" t="s">
        <v>13</v>
      </c>
      <c r="J60" s="287"/>
      <c r="K60" s="29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13" t="s">
        <v>14</v>
      </c>
      <c r="J61" s="287"/>
      <c r="K61" s="29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13" t="s">
        <v>15</v>
      </c>
      <c r="J62" s="287"/>
      <c r="K62" s="29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hidden="1" x14ac:dyDescent="0.25">
      <c r="B63" s="162"/>
      <c r="D63" s="165"/>
      <c r="E63" s="166"/>
      <c r="G63" s="102"/>
      <c r="I63" s="13" t="s">
        <v>16</v>
      </c>
      <c r="J63" s="288"/>
      <c r="K63" s="29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13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13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13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13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13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hidden="1" x14ac:dyDescent="0.25">
      <c r="B71" s="162"/>
      <c r="D71" s="148"/>
      <c r="E71" s="148"/>
      <c r="G71" s="256"/>
      <c r="I71" s="13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13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13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13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13" t="s">
        <v>34</v>
      </c>
      <c r="K77" s="13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13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0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D67:E75"/>
    <mergeCell ref="G67:G75"/>
    <mergeCell ref="J74:K74"/>
    <mergeCell ref="J75:K75"/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B59:B80"/>
    <mergeCell ref="D59:E64"/>
    <mergeCell ref="G59:G64"/>
    <mergeCell ref="M59:M64"/>
    <mergeCell ref="O59:P64"/>
    <mergeCell ref="J64:K64"/>
    <mergeCell ref="J72:K72"/>
    <mergeCell ref="M67:M75"/>
    <mergeCell ref="O67:P75"/>
    <mergeCell ref="J66:K66"/>
    <mergeCell ref="J67:K67"/>
    <mergeCell ref="J68:K68"/>
    <mergeCell ref="J69:K69"/>
    <mergeCell ref="J70:K70"/>
    <mergeCell ref="J71:K71"/>
    <mergeCell ref="J59:J63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J45:K45"/>
    <mergeCell ref="D47:E48"/>
    <mergeCell ref="G47:G48"/>
    <mergeCell ref="I47:I48"/>
    <mergeCell ref="J47:K48"/>
    <mergeCell ref="M47:M48"/>
    <mergeCell ref="B51:B56"/>
    <mergeCell ref="D51:E56"/>
    <mergeCell ref="G51:G56"/>
    <mergeCell ref="J51:J55"/>
    <mergeCell ref="M51:M56"/>
    <mergeCell ref="J56:K56"/>
    <mergeCell ref="M28:M29"/>
    <mergeCell ref="O47:P48"/>
    <mergeCell ref="O51:P56"/>
    <mergeCell ref="M21:M26"/>
    <mergeCell ref="O21:P26"/>
    <mergeCell ref="O28:P29"/>
    <mergeCell ref="M13:M18"/>
    <mergeCell ref="O13:P18"/>
    <mergeCell ref="J14:K14"/>
    <mergeCell ref="J15:K15"/>
    <mergeCell ref="J16:K16"/>
    <mergeCell ref="J17:K17"/>
    <mergeCell ref="J18:K18"/>
    <mergeCell ref="J12:K12"/>
    <mergeCell ref="B13:B29"/>
    <mergeCell ref="D13:E18"/>
    <mergeCell ref="G13:G18"/>
    <mergeCell ref="J13:K13"/>
    <mergeCell ref="D21:E26"/>
    <mergeCell ref="G21:G26"/>
    <mergeCell ref="J21:J25"/>
    <mergeCell ref="D28:E29"/>
    <mergeCell ref="G28:G29"/>
    <mergeCell ref="I28:I29"/>
    <mergeCell ref="J28:K29"/>
    <mergeCell ref="J26:K26"/>
    <mergeCell ref="D10:E10"/>
    <mergeCell ref="I10:K10"/>
    <mergeCell ref="D3:P4"/>
    <mergeCell ref="D6:E6"/>
    <mergeCell ref="G6:P6"/>
    <mergeCell ref="D8:E8"/>
    <mergeCell ref="G8:K8"/>
    <mergeCell ref="O8:P8"/>
    <mergeCell ref="O10:P10"/>
  </mergeCells>
  <conditionalFormatting sqref="I13:I18">
    <cfRule type="duplicateValues" dxfId="264" priority="29"/>
  </conditionalFormatting>
  <conditionalFormatting sqref="J12">
    <cfRule type="duplicateValues" dxfId="263" priority="28"/>
  </conditionalFormatting>
  <conditionalFormatting sqref="I21:I26">
    <cfRule type="duplicateValues" dxfId="262" priority="27"/>
  </conditionalFormatting>
  <conditionalFormatting sqref="I32:I35">
    <cfRule type="duplicateValues" dxfId="261" priority="26"/>
  </conditionalFormatting>
  <conditionalFormatting sqref="I37">
    <cfRule type="duplicateValues" dxfId="260" priority="25"/>
  </conditionalFormatting>
  <conditionalFormatting sqref="I51:I55">
    <cfRule type="duplicateValues" dxfId="259" priority="24"/>
  </conditionalFormatting>
  <conditionalFormatting sqref="I56">
    <cfRule type="duplicateValues" dxfId="258" priority="23"/>
  </conditionalFormatting>
  <conditionalFormatting sqref="J20">
    <cfRule type="duplicateValues" dxfId="257" priority="20"/>
  </conditionalFormatting>
  <conditionalFormatting sqref="K20">
    <cfRule type="duplicateValues" dxfId="256" priority="19"/>
  </conditionalFormatting>
  <conditionalFormatting sqref="I40:I43">
    <cfRule type="duplicateValues" dxfId="255" priority="18"/>
  </conditionalFormatting>
  <conditionalFormatting sqref="I45">
    <cfRule type="duplicateValues" dxfId="254" priority="17"/>
  </conditionalFormatting>
  <conditionalFormatting sqref="I47">
    <cfRule type="duplicateValues" dxfId="253" priority="14"/>
  </conditionalFormatting>
  <conditionalFormatting sqref="I59:I62">
    <cfRule type="duplicateValues" dxfId="252" priority="13"/>
  </conditionalFormatting>
  <conditionalFormatting sqref="I64">
    <cfRule type="duplicateValues" dxfId="251" priority="12"/>
  </conditionalFormatting>
  <conditionalFormatting sqref="I67:I71">
    <cfRule type="duplicateValues" dxfId="250" priority="11"/>
  </conditionalFormatting>
  <conditionalFormatting sqref="I72:I73">
    <cfRule type="duplicateValues" dxfId="249" priority="10"/>
  </conditionalFormatting>
  <conditionalFormatting sqref="I78">
    <cfRule type="duplicateValues" dxfId="248" priority="7"/>
  </conditionalFormatting>
  <conditionalFormatting sqref="I80">
    <cfRule type="duplicateValues" dxfId="247" priority="6"/>
  </conditionalFormatting>
  <conditionalFormatting sqref="I36">
    <cfRule type="duplicateValues" dxfId="246" priority="5"/>
  </conditionalFormatting>
  <conditionalFormatting sqref="I44">
    <cfRule type="duplicateValues" dxfId="245" priority="4"/>
  </conditionalFormatting>
  <conditionalFormatting sqref="I63">
    <cfRule type="duplicateValues" dxfId="244" priority="2"/>
  </conditionalFormatting>
  <conditionalFormatting sqref="I28">
    <cfRule type="duplicateValues" dxfId="243" priority="1"/>
  </conditionalFormatting>
  <dataValidations disablePrompts="1"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O12" sqref="O12:P18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82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4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hidden="1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hidden="1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IF(ISBLANK(Dec!J28),"Complete in December",Dec!J28)</f>
        <v>Complete in December</v>
      </c>
      <c r="K28" s="196"/>
      <c r="L28" s="1"/>
      <c r="M28" s="191">
        <f>IF(J28="Complete in December",0,IF(J28&gt;=Benchmarks!I4,Matrix!M20,IF(J28&gt;=Benchmarks!I5,Matrix!M21,IF(J28&gt;=Benchmarks!I6,Matrix!M22,Matrix!M23))))</f>
        <v>0</v>
      </c>
      <c r="O28" s="248">
        <f>M28*$G$28</f>
        <v>0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hidden="1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hidden="1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hidden="1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IF(J64="",0,IF(J64&lt;J59,Matrix!M44,IF(Aug!J64=J59,Matrix!M45,Matrix!M46)))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hidden="1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hidden="1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0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242" priority="22"/>
  </conditionalFormatting>
  <conditionalFormatting sqref="J12">
    <cfRule type="duplicateValues" dxfId="241" priority="21"/>
  </conditionalFormatting>
  <conditionalFormatting sqref="I21:I26">
    <cfRule type="duplicateValues" dxfId="240" priority="20"/>
  </conditionalFormatting>
  <conditionalFormatting sqref="I32:I35">
    <cfRule type="duplicateValues" dxfId="239" priority="19"/>
  </conditionalFormatting>
  <conditionalFormatting sqref="I37">
    <cfRule type="duplicateValues" dxfId="238" priority="18"/>
  </conditionalFormatting>
  <conditionalFormatting sqref="I51:I55">
    <cfRule type="duplicateValues" dxfId="237" priority="17"/>
  </conditionalFormatting>
  <conditionalFormatting sqref="I56">
    <cfRule type="duplicateValues" dxfId="236" priority="16"/>
  </conditionalFormatting>
  <conditionalFormatting sqref="J20">
    <cfRule type="duplicateValues" dxfId="235" priority="15"/>
  </conditionalFormatting>
  <conditionalFormatting sqref="K20">
    <cfRule type="duplicateValues" dxfId="234" priority="14"/>
  </conditionalFormatting>
  <conditionalFormatting sqref="I40:I43">
    <cfRule type="duplicateValues" dxfId="233" priority="13"/>
  </conditionalFormatting>
  <conditionalFormatting sqref="I45">
    <cfRule type="duplicateValues" dxfId="232" priority="12"/>
  </conditionalFormatting>
  <conditionalFormatting sqref="I47">
    <cfRule type="duplicateValues" dxfId="231" priority="11"/>
  </conditionalFormatting>
  <conditionalFormatting sqref="I59:I62">
    <cfRule type="duplicateValues" dxfId="230" priority="10"/>
  </conditionalFormatting>
  <conditionalFormatting sqref="I64">
    <cfRule type="duplicateValues" dxfId="229" priority="9"/>
  </conditionalFormatting>
  <conditionalFormatting sqref="I67:I71">
    <cfRule type="duplicateValues" dxfId="228" priority="8"/>
  </conditionalFormatting>
  <conditionalFormatting sqref="I72:I73">
    <cfRule type="duplicateValues" dxfId="227" priority="7"/>
  </conditionalFormatting>
  <conditionalFormatting sqref="I78">
    <cfRule type="duplicateValues" dxfId="226" priority="6"/>
  </conditionalFormatting>
  <conditionalFormatting sqref="I80">
    <cfRule type="duplicateValues" dxfId="225" priority="5"/>
  </conditionalFormatting>
  <conditionalFormatting sqref="I36">
    <cfRule type="duplicateValues" dxfId="224" priority="4"/>
  </conditionalFormatting>
  <conditionalFormatting sqref="I44">
    <cfRule type="duplicateValues" dxfId="223" priority="3"/>
  </conditionalFormatting>
  <conditionalFormatting sqref="I63">
    <cfRule type="duplicateValues" dxfId="222" priority="2"/>
  </conditionalFormatting>
  <conditionalFormatting sqref="I28">
    <cfRule type="duplicateValues" dxfId="221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AA25" sqref="AA25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83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5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IF(ISBLANK(Dec!J28),"Complete in December",Dec!J28)</f>
        <v>Complete in December</v>
      </c>
      <c r="K28" s="196"/>
      <c r="L28" s="1"/>
      <c r="M28" s="191">
        <f>IF(J28="Complete in December",0,IF(J28&gt;=Benchmarks!I4,Matrix!M20,IF(J28&gt;=Benchmarks!I5,Matrix!M21,IF(J28&gt;=Benchmarks!I6,Matrix!M22,Matrix!M23))))</f>
        <v>0</v>
      </c>
      <c r="O28" s="248">
        <f>M28*$G$28</f>
        <v>0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IF(J64="",0,IF(J64&lt;J59,Matrix!M44,IF(Sep!J64=J59,Matrix!M45,Matrix!M46)))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0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220" priority="22"/>
  </conditionalFormatting>
  <conditionalFormatting sqref="J12">
    <cfRule type="duplicateValues" dxfId="219" priority="21"/>
  </conditionalFormatting>
  <conditionalFormatting sqref="I21:I26">
    <cfRule type="duplicateValues" dxfId="218" priority="20"/>
  </conditionalFormatting>
  <conditionalFormatting sqref="I32:I35">
    <cfRule type="duplicateValues" dxfId="217" priority="19"/>
  </conditionalFormatting>
  <conditionalFormatting sqref="I37">
    <cfRule type="duplicateValues" dxfId="216" priority="18"/>
  </conditionalFormatting>
  <conditionalFormatting sqref="I51:I55">
    <cfRule type="duplicateValues" dxfId="215" priority="17"/>
  </conditionalFormatting>
  <conditionalFormatting sqref="I56">
    <cfRule type="duplicateValues" dxfId="214" priority="16"/>
  </conditionalFormatting>
  <conditionalFormatting sqref="J20">
    <cfRule type="duplicateValues" dxfId="213" priority="15"/>
  </conditionalFormatting>
  <conditionalFormatting sqref="K20">
    <cfRule type="duplicateValues" dxfId="212" priority="14"/>
  </conditionalFormatting>
  <conditionalFormatting sqref="I40:I43">
    <cfRule type="duplicateValues" dxfId="211" priority="13"/>
  </conditionalFormatting>
  <conditionalFormatting sqref="I45">
    <cfRule type="duplicateValues" dxfId="210" priority="12"/>
  </conditionalFormatting>
  <conditionalFormatting sqref="I47">
    <cfRule type="duplicateValues" dxfId="209" priority="11"/>
  </conditionalFormatting>
  <conditionalFormatting sqref="I59:I62">
    <cfRule type="duplicateValues" dxfId="208" priority="10"/>
  </conditionalFormatting>
  <conditionalFormatting sqref="I64">
    <cfRule type="duplicateValues" dxfId="207" priority="9"/>
  </conditionalFormatting>
  <conditionalFormatting sqref="I67:I71">
    <cfRule type="duplicateValues" dxfId="206" priority="8"/>
  </conditionalFormatting>
  <conditionalFormatting sqref="I72:I73">
    <cfRule type="duplicateValues" dxfId="205" priority="7"/>
  </conditionalFormatting>
  <conditionalFormatting sqref="I78">
    <cfRule type="duplicateValues" dxfId="204" priority="6"/>
  </conditionalFormatting>
  <conditionalFormatting sqref="I80">
    <cfRule type="duplicateValues" dxfId="203" priority="5"/>
  </conditionalFormatting>
  <conditionalFormatting sqref="I36">
    <cfRule type="duplicateValues" dxfId="202" priority="4"/>
  </conditionalFormatting>
  <conditionalFormatting sqref="I44">
    <cfRule type="duplicateValues" dxfId="201" priority="3"/>
  </conditionalFormatting>
  <conditionalFormatting sqref="I63">
    <cfRule type="duplicateValues" dxfId="200" priority="2"/>
  </conditionalFormatting>
  <conditionalFormatting sqref="I28">
    <cfRule type="duplicateValues" dxfId="199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O12" sqref="O12:P18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84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4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hidden="1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hidden="1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IF(ISBLANK(Dec!J28),"Complete in December",Dec!J28)</f>
        <v>Complete in December</v>
      </c>
      <c r="K28" s="196"/>
      <c r="L28" s="1"/>
      <c r="M28" s="191">
        <f>IF(J28="Complete in December",0,IF(J28&gt;=Benchmarks!I4,Matrix!M20,IF(J28&gt;=Benchmarks!I5,Matrix!M21,IF(J28&gt;=Benchmarks!I6,Matrix!M22,Matrix!M23))))</f>
        <v>0</v>
      </c>
      <c r="O28" s="248">
        <f>M28*$G$28</f>
        <v>0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hidden="1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hidden="1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hidden="1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IF(J64="",0,IF(J64&lt;J59,Matrix!M44,IF(Oct!J64=J59,Matrix!M45,Matrix!M46)))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hidden="1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hidden="1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0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198" priority="22"/>
  </conditionalFormatting>
  <conditionalFormatting sqref="J12">
    <cfRule type="duplicateValues" dxfId="197" priority="21"/>
  </conditionalFormatting>
  <conditionalFormatting sqref="I21:I26">
    <cfRule type="duplicateValues" dxfId="196" priority="20"/>
  </conditionalFormatting>
  <conditionalFormatting sqref="I32:I35">
    <cfRule type="duplicateValues" dxfId="195" priority="19"/>
  </conditionalFormatting>
  <conditionalFormatting sqref="I37">
    <cfRule type="duplicateValues" dxfId="194" priority="18"/>
  </conditionalFormatting>
  <conditionalFormatting sqref="I51:I55">
    <cfRule type="duplicateValues" dxfId="193" priority="17"/>
  </conditionalFormatting>
  <conditionalFormatting sqref="I56">
    <cfRule type="duplicateValues" dxfId="192" priority="16"/>
  </conditionalFormatting>
  <conditionalFormatting sqref="J20">
    <cfRule type="duplicateValues" dxfId="191" priority="15"/>
  </conditionalFormatting>
  <conditionalFormatting sqref="K20">
    <cfRule type="duplicateValues" dxfId="190" priority="14"/>
  </conditionalFormatting>
  <conditionalFormatting sqref="I40:I43">
    <cfRule type="duplicateValues" dxfId="189" priority="13"/>
  </conditionalFormatting>
  <conditionalFormatting sqref="I45">
    <cfRule type="duplicateValues" dxfId="188" priority="12"/>
  </conditionalFormatting>
  <conditionalFormatting sqref="I47">
    <cfRule type="duplicateValues" dxfId="187" priority="11"/>
  </conditionalFormatting>
  <conditionalFormatting sqref="I59:I62">
    <cfRule type="duplicateValues" dxfId="186" priority="10"/>
  </conditionalFormatting>
  <conditionalFormatting sqref="I64">
    <cfRule type="duplicateValues" dxfId="185" priority="9"/>
  </conditionalFormatting>
  <conditionalFormatting sqref="I67:I71">
    <cfRule type="duplicateValues" dxfId="184" priority="8"/>
  </conditionalFormatting>
  <conditionalFormatting sqref="I72:I73">
    <cfRule type="duplicateValues" dxfId="183" priority="7"/>
  </conditionalFormatting>
  <conditionalFormatting sqref="I78">
    <cfRule type="duplicateValues" dxfId="182" priority="6"/>
  </conditionalFormatting>
  <conditionalFormatting sqref="I80">
    <cfRule type="duplicateValues" dxfId="181" priority="5"/>
  </conditionalFormatting>
  <conditionalFormatting sqref="I36">
    <cfRule type="duplicateValues" dxfId="180" priority="4"/>
  </conditionalFormatting>
  <conditionalFormatting sqref="I44">
    <cfRule type="duplicateValues" dxfId="179" priority="3"/>
  </conditionalFormatting>
  <conditionalFormatting sqref="I63">
    <cfRule type="duplicateValues" dxfId="178" priority="2"/>
  </conditionalFormatting>
  <conditionalFormatting sqref="I28">
    <cfRule type="duplicateValues" dxfId="177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O12" sqref="O12:P18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85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4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hidden="1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hidden="1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IF(ISBLANK(Dec!J28),"Complete in December",Dec!J28)</f>
        <v>Complete in December</v>
      </c>
      <c r="K28" s="196"/>
      <c r="L28" s="1"/>
      <c r="M28" s="191">
        <f>IF(J28="Complete in December",0,IF(J28&gt;=Benchmarks!I4,Matrix!M20,IF(J28&gt;=Benchmarks!I5,Matrix!M21,IF(J28&gt;=Benchmarks!I6,Matrix!M22,Matrix!M23))))</f>
        <v>0</v>
      </c>
      <c r="O28" s="248">
        <f>M28*$G$28</f>
        <v>0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hidden="1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hidden="1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hidden="1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IF(J64="",0,IF(J64&lt;J59,Matrix!M44,IF(Nov!J64=J59,Matrix!M45,Matrix!M46)))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hidden="1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hidden="1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0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176" priority="22"/>
  </conditionalFormatting>
  <conditionalFormatting sqref="J12">
    <cfRule type="duplicateValues" dxfId="175" priority="21"/>
  </conditionalFormatting>
  <conditionalFormatting sqref="I21:I26">
    <cfRule type="duplicateValues" dxfId="174" priority="20"/>
  </conditionalFormatting>
  <conditionalFormatting sqref="I32:I35">
    <cfRule type="duplicateValues" dxfId="173" priority="19"/>
  </conditionalFormatting>
  <conditionalFormatting sqref="I37">
    <cfRule type="duplicateValues" dxfId="172" priority="18"/>
  </conditionalFormatting>
  <conditionalFormatting sqref="I51:I55">
    <cfRule type="duplicateValues" dxfId="171" priority="17"/>
  </conditionalFormatting>
  <conditionalFormatting sqref="I56">
    <cfRule type="duplicateValues" dxfId="170" priority="16"/>
  </conditionalFormatting>
  <conditionalFormatting sqref="J20">
    <cfRule type="duplicateValues" dxfId="169" priority="15"/>
  </conditionalFormatting>
  <conditionalFormatting sqref="K20">
    <cfRule type="duplicateValues" dxfId="168" priority="14"/>
  </conditionalFormatting>
  <conditionalFormatting sqref="I40:I43">
    <cfRule type="duplicateValues" dxfId="167" priority="13"/>
  </conditionalFormatting>
  <conditionalFormatting sqref="I45">
    <cfRule type="duplicateValues" dxfId="166" priority="12"/>
  </conditionalFormatting>
  <conditionalFormatting sqref="I47">
    <cfRule type="duplicateValues" dxfId="165" priority="11"/>
  </conditionalFormatting>
  <conditionalFormatting sqref="I59:I62">
    <cfRule type="duplicateValues" dxfId="164" priority="10"/>
  </conditionalFormatting>
  <conditionalFormatting sqref="I64">
    <cfRule type="duplicateValues" dxfId="163" priority="9"/>
  </conditionalFormatting>
  <conditionalFormatting sqref="I67:I71">
    <cfRule type="duplicateValues" dxfId="162" priority="8"/>
  </conditionalFormatting>
  <conditionalFormatting sqref="I72:I73">
    <cfRule type="duplicateValues" dxfId="161" priority="7"/>
  </conditionalFormatting>
  <conditionalFormatting sqref="I78">
    <cfRule type="duplicateValues" dxfId="160" priority="6"/>
  </conditionalFormatting>
  <conditionalFormatting sqref="I80">
    <cfRule type="duplicateValues" dxfId="159" priority="5"/>
  </conditionalFormatting>
  <conditionalFormatting sqref="I36">
    <cfRule type="duplicateValues" dxfId="158" priority="4"/>
  </conditionalFormatting>
  <conditionalFormatting sqref="I44">
    <cfRule type="duplicateValues" dxfId="157" priority="3"/>
  </conditionalFormatting>
  <conditionalFormatting sqref="I63">
    <cfRule type="duplicateValues" dxfId="156" priority="2"/>
  </conditionalFormatting>
  <conditionalFormatting sqref="I28">
    <cfRule type="duplicateValues" dxfId="155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O12" sqref="O12:P18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1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5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/>
      <c r="K28" s="196"/>
      <c r="L28" s="1"/>
      <c r="M28" s="191">
        <f>IF(J28="Complete in December",0,IF(J28&gt;=Benchmarks!I4,Matrix!M20,IF(J28&gt;=Benchmarks!I5,Matrix!M21,IF(J28&gt;=Benchmarks!I6,Matrix!M22,Matrix!M23))))</f>
        <v>0</v>
      </c>
      <c r="O28" s="248">
        <f>M28*$G$28</f>
        <v>0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IF(J64="",0,IF(J64&lt;J59,Matrix!M44,IF(Dec!J64=J59,Matrix!M45,Matrix!M46)))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0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154" priority="22"/>
  </conditionalFormatting>
  <conditionalFormatting sqref="J12">
    <cfRule type="duplicateValues" dxfId="153" priority="21"/>
  </conditionalFormatting>
  <conditionalFormatting sqref="I21:I26">
    <cfRule type="duplicateValues" dxfId="152" priority="20"/>
  </conditionalFormatting>
  <conditionalFormatting sqref="I32:I35">
    <cfRule type="duplicateValues" dxfId="151" priority="19"/>
  </conditionalFormatting>
  <conditionalFormatting sqref="I37">
    <cfRule type="duplicateValues" dxfId="150" priority="18"/>
  </conditionalFormatting>
  <conditionalFormatting sqref="I51:I55">
    <cfRule type="duplicateValues" dxfId="149" priority="17"/>
  </conditionalFormatting>
  <conditionalFormatting sqref="I56">
    <cfRule type="duplicateValues" dxfId="148" priority="16"/>
  </conditionalFormatting>
  <conditionalFormatting sqref="J20">
    <cfRule type="duplicateValues" dxfId="147" priority="15"/>
  </conditionalFormatting>
  <conditionalFormatting sqref="K20">
    <cfRule type="duplicateValues" dxfId="146" priority="14"/>
  </conditionalFormatting>
  <conditionalFormatting sqref="I40:I43">
    <cfRule type="duplicateValues" dxfId="145" priority="13"/>
  </conditionalFormatting>
  <conditionalFormatting sqref="I45">
    <cfRule type="duplicateValues" dxfId="144" priority="12"/>
  </conditionalFormatting>
  <conditionalFormatting sqref="I47">
    <cfRule type="duplicateValues" dxfId="143" priority="11"/>
  </conditionalFormatting>
  <conditionalFormatting sqref="I59:I62">
    <cfRule type="duplicateValues" dxfId="142" priority="10"/>
  </conditionalFormatting>
  <conditionalFormatting sqref="I64">
    <cfRule type="duplicateValues" dxfId="141" priority="9"/>
  </conditionalFormatting>
  <conditionalFormatting sqref="I67:I71">
    <cfRule type="duplicateValues" dxfId="140" priority="8"/>
  </conditionalFormatting>
  <conditionalFormatting sqref="I72:I73">
    <cfRule type="duplicateValues" dxfId="139" priority="7"/>
  </conditionalFormatting>
  <conditionalFormatting sqref="I78">
    <cfRule type="duplicateValues" dxfId="138" priority="6"/>
  </conditionalFormatting>
  <conditionalFormatting sqref="I80">
    <cfRule type="duplicateValues" dxfId="137" priority="5"/>
  </conditionalFormatting>
  <conditionalFormatting sqref="I36">
    <cfRule type="duplicateValues" dxfId="136" priority="4"/>
  </conditionalFormatting>
  <conditionalFormatting sqref="I44">
    <cfRule type="duplicateValues" dxfId="135" priority="3"/>
  </conditionalFormatting>
  <conditionalFormatting sqref="I63">
    <cfRule type="duplicateValues" dxfId="134" priority="2"/>
  </conditionalFormatting>
  <conditionalFormatting sqref="I28">
    <cfRule type="duplicateValues" dxfId="133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Y86"/>
  <sheetViews>
    <sheetView topLeftCell="A7" zoomScaleNormal="100" workbookViewId="0">
      <selection activeCell="J28" sqref="J28:K29"/>
    </sheetView>
  </sheetViews>
  <sheetFormatPr defaultColWidth="10.140625" defaultRowHeight="15" x14ac:dyDescent="0.25"/>
  <cols>
    <col min="1" max="1" width="10.140625" style="47"/>
    <col min="2" max="2" width="4.42578125" style="47" customWidth="1"/>
    <col min="3" max="3" width="2.28515625" style="47" customWidth="1"/>
    <col min="4" max="5" width="8.42578125" style="47" customWidth="1"/>
    <col min="6" max="6" width="2.28515625" style="47" customWidth="1"/>
    <col min="7" max="7" width="9.85546875" style="47" customWidth="1"/>
    <col min="8" max="8" width="2.28515625" style="47" customWidth="1"/>
    <col min="9" max="9" width="9.140625" style="47" customWidth="1"/>
    <col min="10" max="11" width="11.5703125" style="47" customWidth="1"/>
    <col min="12" max="12" width="2.28515625" style="47" hidden="1" customWidth="1"/>
    <col min="13" max="13" width="11.28515625" style="47" hidden="1" customWidth="1"/>
    <col min="14" max="14" width="2.28515625" style="47" customWidth="1"/>
    <col min="15" max="16" width="8.140625" style="47" customWidth="1"/>
    <col min="17" max="17" width="14.140625" style="47" customWidth="1"/>
    <col min="18" max="18" width="10.140625" style="47" customWidth="1"/>
    <col min="19" max="19" width="14.42578125" style="47" hidden="1" customWidth="1"/>
    <col min="20" max="21" width="11.5703125" style="47" hidden="1" customWidth="1"/>
    <col min="22" max="25" width="10.140625" style="47" hidden="1" customWidth="1"/>
    <col min="26" max="16384" width="10.140625" style="47"/>
  </cols>
  <sheetData>
    <row r="2" spans="1:20" ht="15" customHeight="1" x14ac:dyDescent="0.25">
      <c r="A2" s="48"/>
      <c r="C2" s="49"/>
      <c r="D2" s="49"/>
      <c r="E2" s="49"/>
      <c r="F2" s="49"/>
      <c r="G2" s="49"/>
      <c r="H2" s="49"/>
      <c r="I2" s="49"/>
      <c r="J2" s="49"/>
      <c r="K2" s="49"/>
      <c r="L2" s="48"/>
    </row>
    <row r="3" spans="1:20" ht="15" customHeight="1" x14ac:dyDescent="0.25">
      <c r="A3" s="48"/>
      <c r="B3" s="49"/>
      <c r="C3" s="49"/>
      <c r="D3" s="83"/>
      <c r="E3" s="83"/>
      <c r="F3" s="83"/>
      <c r="G3" s="113" t="s">
        <v>106</v>
      </c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48"/>
      <c r="B4" s="49"/>
      <c r="D4" s="83"/>
      <c r="E4" s="83"/>
      <c r="F4" s="8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48"/>
      <c r="B5" s="49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20" ht="15" customHeight="1" x14ac:dyDescent="0.25">
      <c r="A6" s="48"/>
      <c r="B6" s="49"/>
      <c r="D6" s="170" t="s">
        <v>0</v>
      </c>
      <c r="E6" s="171"/>
      <c r="F6" s="46"/>
      <c r="G6" s="171" t="s">
        <v>100</v>
      </c>
      <c r="H6" s="171"/>
      <c r="I6" s="171"/>
      <c r="J6" s="171"/>
      <c r="K6" s="171"/>
      <c r="L6" s="171"/>
      <c r="M6" s="171"/>
      <c r="N6" s="171"/>
      <c r="O6" s="171"/>
      <c r="P6" s="172"/>
      <c r="S6" s="51" t="s">
        <v>2</v>
      </c>
      <c r="T6" s="47">
        <v>5</v>
      </c>
    </row>
    <row r="7" spans="1:20" ht="5.25" customHeight="1" x14ac:dyDescent="0.25">
      <c r="A7" s="48"/>
      <c r="B7" s="49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</row>
    <row r="8" spans="1:20" ht="15" customHeight="1" x14ac:dyDescent="0.25">
      <c r="A8" s="48"/>
      <c r="B8" s="49"/>
      <c r="C8" s="49"/>
      <c r="D8" s="170" t="s">
        <v>3</v>
      </c>
      <c r="E8" s="171"/>
      <c r="F8" s="46"/>
      <c r="G8" s="173"/>
      <c r="H8" s="173"/>
      <c r="I8" s="173"/>
      <c r="J8" s="173"/>
      <c r="K8" s="173"/>
      <c r="L8" s="173"/>
      <c r="M8" s="173"/>
      <c r="N8" s="173"/>
      <c r="O8" s="173"/>
      <c r="P8" s="174"/>
    </row>
    <row r="9" spans="1:20" ht="6" customHeight="1" x14ac:dyDescent="0.2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48"/>
    </row>
    <row r="10" spans="1:20" ht="16.5" customHeight="1" x14ac:dyDescent="0.25">
      <c r="A10" s="48"/>
      <c r="B10" s="48"/>
      <c r="C10" s="48"/>
      <c r="D10" s="175" t="s">
        <v>5</v>
      </c>
      <c r="E10" s="175"/>
      <c r="F10" s="48"/>
      <c r="G10" s="94" t="s">
        <v>6</v>
      </c>
      <c r="H10" s="48"/>
      <c r="I10" s="175" t="s">
        <v>9</v>
      </c>
      <c r="J10" s="175"/>
      <c r="K10" s="175"/>
      <c r="L10" s="48"/>
      <c r="M10" s="94" t="s">
        <v>8</v>
      </c>
      <c r="O10" s="175" t="s">
        <v>17</v>
      </c>
      <c r="P10" s="175"/>
    </row>
    <row r="11" spans="1:20" ht="6.75" customHeight="1" x14ac:dyDescent="0.25">
      <c r="A11" s="48"/>
      <c r="B11" s="53" t="s">
        <v>10</v>
      </c>
      <c r="C11" s="48"/>
      <c r="D11" s="48"/>
      <c r="E11" s="54"/>
      <c r="F11" s="48"/>
      <c r="G11" s="48"/>
      <c r="H11" s="48"/>
      <c r="I11" s="48"/>
      <c r="J11" s="48"/>
      <c r="K11" s="48"/>
      <c r="L11" s="48"/>
    </row>
    <row r="12" spans="1:20" ht="15" customHeight="1" x14ac:dyDescent="0.25">
      <c r="A12" s="48"/>
      <c r="B12" s="317" t="s">
        <v>11</v>
      </c>
      <c r="C12" s="48"/>
      <c r="D12" s="316" t="str">
        <f>Matrix!D10</f>
        <v>Restaurant Proficiency</v>
      </c>
      <c r="E12" s="316"/>
      <c r="F12" s="55"/>
      <c r="G12" s="184">
        <f>Matrix!G10</f>
        <v>0.1</v>
      </c>
      <c r="H12" s="48"/>
      <c r="I12" s="56" t="s">
        <v>101</v>
      </c>
      <c r="J12" s="182" t="str">
        <f ca="1">IF(ISBLANK(INDIRECT(I12&amp;"!J13")),"",INDIRECT(I12&amp;"!O13"))</f>
        <v/>
      </c>
      <c r="K12" s="183"/>
      <c r="L12" s="48"/>
      <c r="M12" s="187">
        <f ca="1">IF(J18&lt;=0,100,IF(J18&lt;5%,75,IF(J18&lt;7.5%,50,IF(J18&lt;10%,25,0))))</f>
        <v>100</v>
      </c>
      <c r="O12" s="176">
        <f ca="1">J18</f>
        <v>0</v>
      </c>
      <c r="P12" s="177"/>
    </row>
    <row r="13" spans="1:20" ht="15" customHeight="1" x14ac:dyDescent="0.25">
      <c r="A13" s="48"/>
      <c r="B13" s="318"/>
      <c r="C13" s="48"/>
      <c r="D13" s="316"/>
      <c r="E13" s="316"/>
      <c r="F13" s="55"/>
      <c r="G13" s="185"/>
      <c r="H13" s="48"/>
      <c r="I13" s="56" t="s">
        <v>102</v>
      </c>
      <c r="J13" s="182" t="str">
        <f t="shared" ref="J13:J17" ca="1" si="0">IF(ISBLANK(INDIRECT(I13&amp;"!J13")),"",INDIRECT(I13&amp;"!O13"))</f>
        <v/>
      </c>
      <c r="K13" s="183"/>
      <c r="L13" s="48"/>
      <c r="M13" s="188"/>
      <c r="O13" s="178"/>
      <c r="P13" s="179"/>
    </row>
    <row r="14" spans="1:20" ht="15" customHeight="1" x14ac:dyDescent="0.25">
      <c r="A14" s="48"/>
      <c r="B14" s="318"/>
      <c r="C14" s="48"/>
      <c r="D14" s="316"/>
      <c r="E14" s="316"/>
      <c r="F14" s="55"/>
      <c r="G14" s="185"/>
      <c r="H14" s="48"/>
      <c r="I14" s="56" t="s">
        <v>103</v>
      </c>
      <c r="J14" s="182" t="str">
        <f t="shared" ca="1" si="0"/>
        <v/>
      </c>
      <c r="K14" s="183"/>
      <c r="L14" s="48"/>
      <c r="M14" s="188"/>
      <c r="O14" s="178"/>
      <c r="P14" s="179"/>
    </row>
    <row r="15" spans="1:20" ht="15" customHeight="1" x14ac:dyDescent="0.25">
      <c r="A15" s="48"/>
      <c r="B15" s="318"/>
      <c r="C15" s="48"/>
      <c r="D15" s="316"/>
      <c r="E15" s="316"/>
      <c r="F15" s="55"/>
      <c r="G15" s="185"/>
      <c r="H15" s="48"/>
      <c r="I15" s="56" t="s">
        <v>104</v>
      </c>
      <c r="J15" s="182" t="str">
        <f t="shared" ca="1" si="0"/>
        <v/>
      </c>
      <c r="K15" s="183"/>
      <c r="L15" s="48"/>
      <c r="M15" s="188"/>
      <c r="O15" s="178"/>
      <c r="P15" s="179"/>
    </row>
    <row r="16" spans="1:20" ht="15" customHeight="1" x14ac:dyDescent="0.25">
      <c r="A16" s="48"/>
      <c r="B16" s="318"/>
      <c r="C16" s="48"/>
      <c r="D16" s="316"/>
      <c r="E16" s="316"/>
      <c r="F16" s="55"/>
      <c r="G16" s="185"/>
      <c r="H16" s="48"/>
      <c r="I16" s="56" t="s">
        <v>91</v>
      </c>
      <c r="J16" s="182" t="str">
        <f t="shared" ca="1" si="0"/>
        <v/>
      </c>
      <c r="K16" s="183"/>
      <c r="L16" s="48"/>
      <c r="M16" s="188"/>
      <c r="O16" s="178"/>
      <c r="P16" s="179"/>
    </row>
    <row r="17" spans="1:20" ht="15" customHeight="1" x14ac:dyDescent="0.25">
      <c r="A17" s="48"/>
      <c r="B17" s="318"/>
      <c r="C17" s="48"/>
      <c r="D17" s="316"/>
      <c r="E17" s="316"/>
      <c r="F17" s="55"/>
      <c r="G17" s="185"/>
      <c r="H17" s="48"/>
      <c r="I17" s="56" t="s">
        <v>105</v>
      </c>
      <c r="J17" s="182" t="str">
        <f t="shared" ca="1" si="0"/>
        <v/>
      </c>
      <c r="K17" s="183"/>
      <c r="L17" s="48"/>
      <c r="M17" s="188"/>
      <c r="O17" s="178"/>
      <c r="P17" s="179"/>
    </row>
    <row r="18" spans="1:20" x14ac:dyDescent="0.25">
      <c r="B18" s="318"/>
      <c r="D18" s="316"/>
      <c r="E18" s="316"/>
      <c r="F18" s="55"/>
      <c r="G18" s="186"/>
      <c r="I18" s="56" t="s">
        <v>99</v>
      </c>
      <c r="J18" s="182">
        <f ca="1">IFERROR(AVERAGE(J12:K17),0)</f>
        <v>0</v>
      </c>
      <c r="K18" s="183"/>
      <c r="M18" s="189"/>
      <c r="O18" s="180"/>
      <c r="P18" s="181"/>
    </row>
    <row r="19" spans="1:20" x14ac:dyDescent="0.25">
      <c r="B19" s="318"/>
      <c r="G19" s="48"/>
      <c r="J19" s="57"/>
      <c r="K19" s="57"/>
    </row>
    <row r="20" spans="1:20" ht="15" customHeight="1" x14ac:dyDescent="0.25">
      <c r="B20" s="318"/>
      <c r="D20" s="316" t="str">
        <f>Matrix!D15</f>
        <v>Crew Staffing Tiered by Sales Band</v>
      </c>
      <c r="E20" s="316"/>
      <c r="G20" s="184">
        <f>Matrix!G15</f>
        <v>0.1</v>
      </c>
      <c r="I20" s="56" t="s">
        <v>101</v>
      </c>
      <c r="J20" s="182" t="str">
        <f ca="1">IF(ISBLANK(INDIRECT(I12&amp;"!K21")),"",INDIRECT(I12&amp;"!O21"))</f>
        <v/>
      </c>
      <c r="K20" s="183"/>
      <c r="L20" s="48"/>
      <c r="M20" s="187">
        <f>IFERROR(IF(ISBLANK(K20),0,IF(J26&gt;=T26,100,IF(J26&gt;=T23,75,IF(J26&gt;=T22,50,IF(J26&gt;=T21,25,0))))),0)</f>
        <v>0</v>
      </c>
      <c r="O20" s="176">
        <f ca="1">J26</f>
        <v>0</v>
      </c>
      <c r="P20" s="177"/>
      <c r="S20" s="51" t="s">
        <v>20</v>
      </c>
      <c r="T20" s="58" t="e">
        <f ca="1">FLOOR(U58,5000)</f>
        <v>#REF!</v>
      </c>
    </row>
    <row r="21" spans="1:20" ht="15" customHeight="1" x14ac:dyDescent="0.25">
      <c r="B21" s="318"/>
      <c r="D21" s="316"/>
      <c r="E21" s="316"/>
      <c r="G21" s="185"/>
      <c r="I21" s="56" t="s">
        <v>102</v>
      </c>
      <c r="J21" s="182" t="str">
        <f t="shared" ref="J21:J25" ca="1" si="1">IF(ISBLANK(INDIRECT(I13&amp;"!K21")),"",INDIRECT(I13&amp;"!O21"))</f>
        <v/>
      </c>
      <c r="K21" s="183"/>
      <c r="L21" s="48"/>
      <c r="M21" s="188"/>
      <c r="O21" s="178"/>
      <c r="P21" s="179"/>
      <c r="S21" s="51" t="s">
        <v>21</v>
      </c>
      <c r="T21" s="47" t="e">
        <f ca="1">VLOOKUP($T$20,'Crew Staffing Bands'!$A$1:$E$23,2,FALSE)</f>
        <v>#REF!</v>
      </c>
    </row>
    <row r="22" spans="1:20" ht="15" customHeight="1" x14ac:dyDescent="0.25">
      <c r="B22" s="318"/>
      <c r="D22" s="316"/>
      <c r="E22" s="316"/>
      <c r="G22" s="185"/>
      <c r="I22" s="56" t="s">
        <v>103</v>
      </c>
      <c r="J22" s="182" t="str">
        <f t="shared" ca="1" si="1"/>
        <v/>
      </c>
      <c r="K22" s="183"/>
      <c r="L22" s="48"/>
      <c r="M22" s="188"/>
      <c r="O22" s="178"/>
      <c r="P22" s="179"/>
      <c r="S22" s="51" t="s">
        <v>22</v>
      </c>
      <c r="T22" s="47" t="e">
        <f ca="1">VLOOKUP($T$20,'Crew Staffing Bands'!$A$1:$E$23,3,FALSE)</f>
        <v>#REF!</v>
      </c>
    </row>
    <row r="23" spans="1:20" ht="15" customHeight="1" x14ac:dyDescent="0.25">
      <c r="B23" s="318"/>
      <c r="D23" s="316"/>
      <c r="E23" s="316"/>
      <c r="G23" s="185"/>
      <c r="I23" s="56" t="s">
        <v>104</v>
      </c>
      <c r="J23" s="182" t="str">
        <f t="shared" ca="1" si="1"/>
        <v/>
      </c>
      <c r="K23" s="183"/>
      <c r="L23" s="48"/>
      <c r="M23" s="188"/>
      <c r="O23" s="178"/>
      <c r="P23" s="179"/>
      <c r="S23" s="51" t="s">
        <v>23</v>
      </c>
      <c r="T23" s="47" t="e">
        <f ca="1">VLOOKUP($T$20,'Crew Staffing Bands'!$A$1:$E$23,4,FALSE)</f>
        <v>#REF!</v>
      </c>
    </row>
    <row r="24" spans="1:20" ht="15" customHeight="1" x14ac:dyDescent="0.25">
      <c r="B24" s="318"/>
      <c r="D24" s="316"/>
      <c r="E24" s="316"/>
      <c r="G24" s="185"/>
      <c r="I24" s="56" t="s">
        <v>91</v>
      </c>
      <c r="J24" s="182" t="str">
        <f t="shared" ca="1" si="1"/>
        <v/>
      </c>
      <c r="K24" s="183"/>
      <c r="L24" s="48"/>
      <c r="M24" s="188"/>
      <c r="O24" s="178"/>
      <c r="P24" s="179"/>
      <c r="S24" s="51"/>
    </row>
    <row r="25" spans="1:20" ht="15" customHeight="1" x14ac:dyDescent="0.25">
      <c r="B25" s="318"/>
      <c r="D25" s="316"/>
      <c r="E25" s="316"/>
      <c r="G25" s="185"/>
      <c r="I25" s="56" t="s">
        <v>105</v>
      </c>
      <c r="J25" s="182" t="str">
        <f t="shared" ca="1" si="1"/>
        <v/>
      </c>
      <c r="K25" s="183"/>
      <c r="L25" s="48"/>
      <c r="M25" s="188"/>
      <c r="O25" s="178"/>
      <c r="P25" s="179"/>
      <c r="S25" s="51"/>
    </row>
    <row r="26" spans="1:20" x14ac:dyDescent="0.25">
      <c r="B26" s="318"/>
      <c r="D26" s="316"/>
      <c r="E26" s="316"/>
      <c r="G26" s="186"/>
      <c r="I26" s="56" t="s">
        <v>99</v>
      </c>
      <c r="J26" s="182">
        <f ca="1">IFERROR(AVERAGE(J20:K25),0)</f>
        <v>0</v>
      </c>
      <c r="K26" s="183"/>
      <c r="M26" s="189"/>
      <c r="O26" s="180"/>
      <c r="P26" s="181"/>
      <c r="S26" s="51" t="s">
        <v>24</v>
      </c>
      <c r="T26" s="47" t="e">
        <f ca="1">VLOOKUP($T$20,'Crew Staffing Bands'!$A$1:$E$23,5,FALSE)</f>
        <v>#REF!</v>
      </c>
    </row>
    <row r="27" spans="1:20" x14ac:dyDescent="0.25">
      <c r="B27" s="318"/>
      <c r="G27" s="48"/>
    </row>
    <row r="28" spans="1:20" ht="15" customHeight="1" x14ac:dyDescent="0.25">
      <c r="B28" s="318"/>
      <c r="D28" s="316" t="str">
        <f>Matrix!D20</f>
        <v>Safety Audit (6 Monthly)</v>
      </c>
      <c r="E28" s="316"/>
      <c r="G28" s="190">
        <f>Matrix!G20</f>
        <v>0.05</v>
      </c>
      <c r="I28" s="193" t="s">
        <v>119</v>
      </c>
      <c r="J28" s="195" t="str">
        <f>IF(ISBLANK(Jun!J28),"Complete in June",Jun!J28)</f>
        <v>Complete in June</v>
      </c>
      <c r="K28" s="196"/>
      <c r="L28" s="48"/>
      <c r="M28" s="191">
        <f>IF(J28="Complete in December",0,IF(J28&gt;=0.95,100,IF(J28&gt;=0.8,75,IF(J28&gt;=0.7,50,IF(J28&gt;=0.6,25,0)))))</f>
        <v>100</v>
      </c>
      <c r="O28" s="194">
        <f>M28*$G$28</f>
        <v>5</v>
      </c>
      <c r="P28" s="194"/>
    </row>
    <row r="29" spans="1:20" x14ac:dyDescent="0.25">
      <c r="B29" s="319"/>
      <c r="D29" s="316"/>
      <c r="E29" s="316"/>
      <c r="G29" s="190"/>
      <c r="I29" s="193"/>
      <c r="J29" s="197"/>
      <c r="K29" s="198"/>
      <c r="L29" s="48"/>
      <c r="M29" s="192"/>
      <c r="O29" s="194"/>
      <c r="P29" s="194"/>
    </row>
    <row r="30" spans="1:20" x14ac:dyDescent="0.25">
      <c r="B30" s="57"/>
      <c r="G30" s="48"/>
    </row>
    <row r="31" spans="1:20" ht="15" customHeight="1" x14ac:dyDescent="0.25">
      <c r="B31" s="327" t="s">
        <v>27</v>
      </c>
      <c r="D31" s="330" t="str">
        <f>Matrix!D25</f>
        <v>Market Force Complaints Per 10k</v>
      </c>
      <c r="E31" s="331"/>
      <c r="F31" s="55"/>
      <c r="G31" s="184">
        <f>Matrix!G25</f>
        <v>0.15</v>
      </c>
      <c r="I31" s="56" t="s">
        <v>101</v>
      </c>
      <c r="J31" s="182" t="str">
        <f ca="1">IF(ISBLANK(INDIRECT(I12&amp;"!K32")),"",INDIRECT(I12&amp;"!O32"))</f>
        <v/>
      </c>
      <c r="K31" s="183"/>
      <c r="M31" s="199">
        <f ca="1">IF(J37&lt;2.8,100,IF(J37&lt;3.03,75,IF(J37&lt;3.27,50,IF(J37&lt;=3.5,25,0))))</f>
        <v>100</v>
      </c>
      <c r="O31" s="176">
        <f ca="1">J37</f>
        <v>0</v>
      </c>
      <c r="P31" s="177"/>
    </row>
    <row r="32" spans="1:20" x14ac:dyDescent="0.25">
      <c r="B32" s="328"/>
      <c r="D32" s="332"/>
      <c r="E32" s="333"/>
      <c r="F32" s="55"/>
      <c r="G32" s="185"/>
      <c r="I32" s="56" t="s">
        <v>102</v>
      </c>
      <c r="J32" s="182" t="str">
        <f t="shared" ref="J32:J36" ca="1" si="2">IF(ISBLANK(INDIRECT(I13&amp;"!K32")),"",INDIRECT(I13&amp;"!O32"))</f>
        <v/>
      </c>
      <c r="K32" s="183"/>
      <c r="M32" s="200"/>
      <c r="O32" s="178"/>
      <c r="P32" s="179"/>
    </row>
    <row r="33" spans="2:23" x14ac:dyDescent="0.25">
      <c r="B33" s="328"/>
      <c r="D33" s="332"/>
      <c r="E33" s="333"/>
      <c r="F33" s="55"/>
      <c r="G33" s="185"/>
      <c r="I33" s="56" t="s">
        <v>103</v>
      </c>
      <c r="J33" s="182" t="str">
        <f t="shared" ca="1" si="2"/>
        <v/>
      </c>
      <c r="K33" s="183"/>
      <c r="M33" s="200"/>
      <c r="O33" s="178"/>
      <c r="P33" s="179"/>
    </row>
    <row r="34" spans="2:23" x14ac:dyDescent="0.25">
      <c r="B34" s="328"/>
      <c r="D34" s="332"/>
      <c r="E34" s="333"/>
      <c r="F34" s="55"/>
      <c r="G34" s="185"/>
      <c r="I34" s="56" t="s">
        <v>104</v>
      </c>
      <c r="J34" s="182" t="str">
        <f t="shared" ca="1" si="2"/>
        <v/>
      </c>
      <c r="K34" s="183"/>
      <c r="M34" s="200"/>
      <c r="O34" s="178"/>
      <c r="P34" s="179"/>
    </row>
    <row r="35" spans="2:23" x14ac:dyDescent="0.25">
      <c r="B35" s="328"/>
      <c r="D35" s="332"/>
      <c r="E35" s="333"/>
      <c r="F35" s="55"/>
      <c r="G35" s="185"/>
      <c r="I35" s="56" t="s">
        <v>91</v>
      </c>
      <c r="J35" s="182" t="str">
        <f t="shared" ca="1" si="2"/>
        <v/>
      </c>
      <c r="K35" s="183"/>
      <c r="M35" s="200"/>
      <c r="O35" s="178"/>
      <c r="P35" s="179"/>
    </row>
    <row r="36" spans="2:23" x14ac:dyDescent="0.25">
      <c r="B36" s="328"/>
      <c r="D36" s="332"/>
      <c r="E36" s="333"/>
      <c r="F36" s="55"/>
      <c r="G36" s="185"/>
      <c r="I36" s="56" t="s">
        <v>105</v>
      </c>
      <c r="J36" s="182" t="str">
        <f t="shared" ca="1" si="2"/>
        <v/>
      </c>
      <c r="K36" s="183"/>
      <c r="M36" s="200"/>
      <c r="O36" s="178"/>
      <c r="P36" s="179"/>
    </row>
    <row r="37" spans="2:23" x14ac:dyDescent="0.25">
      <c r="B37" s="328"/>
      <c r="D37" s="334"/>
      <c r="E37" s="335"/>
      <c r="F37" s="55"/>
      <c r="G37" s="186"/>
      <c r="I37" s="56" t="s">
        <v>99</v>
      </c>
      <c r="J37" s="182">
        <f ca="1">IFERROR(AVERAGE(J31:K36),0)</f>
        <v>0</v>
      </c>
      <c r="K37" s="183"/>
      <c r="M37" s="201"/>
      <c r="O37" s="180"/>
      <c r="P37" s="181"/>
    </row>
    <row r="38" spans="2:23" x14ac:dyDescent="0.25">
      <c r="B38" s="328"/>
      <c r="G38" s="48"/>
      <c r="O38" s="59"/>
      <c r="P38" s="59"/>
    </row>
    <row r="39" spans="2:23" ht="15" customHeight="1" x14ac:dyDescent="0.25">
      <c r="B39" s="328"/>
      <c r="D39" s="330" t="str">
        <f>Matrix!D30</f>
        <v>Perfect Car Count</v>
      </c>
      <c r="E39" s="331"/>
      <c r="F39" s="55"/>
      <c r="G39" s="184">
        <f>Matrix!G30</f>
        <v>0.1</v>
      </c>
      <c r="I39" s="56" t="s">
        <v>101</v>
      </c>
      <c r="J39" s="182" t="str">
        <f ca="1">IF(ISBLANK(INDIRECT(I12&amp;"!J40")),"",INDIRECT(I12&amp;"!O40"))</f>
        <v/>
      </c>
      <c r="K39" s="183"/>
      <c r="M39" s="187">
        <f ca="1">IF(ISBLANK(J39),0,IF(J45&lt;=T39,100,IF(J45&lt;=T40,75,IF(J45&lt;=T41,50,IF(J45&lt;=T42,25,0)))))</f>
        <v>100</v>
      </c>
      <c r="O39" s="176">
        <f ca="1">J45</f>
        <v>0</v>
      </c>
      <c r="P39" s="177"/>
      <c r="S39" s="51" t="s">
        <v>21</v>
      </c>
      <c r="T39" s="60">
        <v>2.4305555555555556E-2</v>
      </c>
    </row>
    <row r="40" spans="2:23" x14ac:dyDescent="0.25">
      <c r="B40" s="328"/>
      <c r="D40" s="332"/>
      <c r="E40" s="333"/>
      <c r="F40" s="55"/>
      <c r="G40" s="185"/>
      <c r="I40" s="56" t="s">
        <v>102</v>
      </c>
      <c r="J40" s="182" t="str">
        <f t="shared" ref="J40:J44" ca="1" si="3">IF(ISBLANK(INDIRECT(I13&amp;"!J40")),"",INDIRECT(I13&amp;"!O40"))</f>
        <v/>
      </c>
      <c r="K40" s="183"/>
      <c r="M40" s="188"/>
      <c r="O40" s="178"/>
      <c r="P40" s="179"/>
      <c r="S40" s="51" t="s">
        <v>22</v>
      </c>
      <c r="T40" s="60">
        <v>2.5694444444444447E-2</v>
      </c>
    </row>
    <row r="41" spans="2:23" x14ac:dyDescent="0.25">
      <c r="B41" s="328"/>
      <c r="D41" s="332"/>
      <c r="E41" s="333"/>
      <c r="F41" s="55"/>
      <c r="G41" s="185"/>
      <c r="I41" s="56" t="s">
        <v>103</v>
      </c>
      <c r="J41" s="182" t="str">
        <f t="shared" ca="1" si="3"/>
        <v/>
      </c>
      <c r="K41" s="183"/>
      <c r="M41" s="188"/>
      <c r="O41" s="178"/>
      <c r="P41" s="179"/>
      <c r="S41" s="51" t="s">
        <v>23</v>
      </c>
      <c r="T41" s="60">
        <v>2.6388888888888889E-2</v>
      </c>
    </row>
    <row r="42" spans="2:23" x14ac:dyDescent="0.25">
      <c r="B42" s="328"/>
      <c r="D42" s="332"/>
      <c r="E42" s="333"/>
      <c r="F42" s="55"/>
      <c r="G42" s="185"/>
      <c r="I42" s="56" t="s">
        <v>104</v>
      </c>
      <c r="J42" s="182" t="str">
        <f t="shared" ca="1" si="3"/>
        <v/>
      </c>
      <c r="K42" s="183"/>
      <c r="M42" s="188"/>
      <c r="O42" s="178"/>
      <c r="P42" s="179"/>
      <c r="S42" s="51" t="s">
        <v>24</v>
      </c>
      <c r="T42" s="60">
        <v>2.7083333333333334E-2</v>
      </c>
    </row>
    <row r="43" spans="2:23" x14ac:dyDescent="0.25">
      <c r="B43" s="328"/>
      <c r="D43" s="332"/>
      <c r="E43" s="333"/>
      <c r="F43" s="55"/>
      <c r="G43" s="185"/>
      <c r="I43" s="56" t="s">
        <v>91</v>
      </c>
      <c r="J43" s="182" t="str">
        <f t="shared" ca="1" si="3"/>
        <v/>
      </c>
      <c r="K43" s="183"/>
      <c r="M43" s="188"/>
      <c r="O43" s="178"/>
      <c r="P43" s="179"/>
      <c r="S43" s="51"/>
      <c r="T43" s="60"/>
    </row>
    <row r="44" spans="2:23" x14ac:dyDescent="0.25">
      <c r="B44" s="328"/>
      <c r="D44" s="332"/>
      <c r="E44" s="333"/>
      <c r="F44" s="55"/>
      <c r="G44" s="185"/>
      <c r="I44" s="56" t="s">
        <v>105</v>
      </c>
      <c r="J44" s="182" t="str">
        <f t="shared" ca="1" si="3"/>
        <v/>
      </c>
      <c r="K44" s="183"/>
      <c r="M44" s="188"/>
      <c r="O44" s="178"/>
      <c r="P44" s="179"/>
      <c r="S44" s="51"/>
      <c r="T44" s="60"/>
    </row>
    <row r="45" spans="2:23" x14ac:dyDescent="0.25">
      <c r="B45" s="328"/>
      <c r="D45" s="334"/>
      <c r="E45" s="335"/>
      <c r="F45" s="55"/>
      <c r="G45" s="186"/>
      <c r="I45" s="56" t="s">
        <v>99</v>
      </c>
      <c r="J45" s="182">
        <f ca="1">IFERROR(AVERAGE(J39:K44),0)</f>
        <v>0</v>
      </c>
      <c r="K45" s="183"/>
      <c r="M45" s="189"/>
      <c r="O45" s="180"/>
      <c r="P45" s="181"/>
      <c r="S45" s="51"/>
      <c r="T45" s="60"/>
    </row>
    <row r="46" spans="2:23" x14ac:dyDescent="0.25">
      <c r="B46" s="328"/>
      <c r="G46" s="48"/>
      <c r="O46" s="59"/>
      <c r="P46" s="59"/>
    </row>
    <row r="47" spans="2:23" ht="15" customHeight="1" x14ac:dyDescent="0.25">
      <c r="B47" s="328"/>
      <c r="D47" s="336" t="str">
        <f>Matrix!D35</f>
        <v>REV</v>
      </c>
      <c r="E47" s="336"/>
      <c r="G47" s="202" t="str">
        <f>Matrix!G35</f>
        <v>Bonus or Penalty</v>
      </c>
      <c r="I47" s="204" t="s">
        <v>30</v>
      </c>
      <c r="J47" s="205" t="str">
        <f>IF(OR(Jul!J47="A",Aug!J47="A",Sep!J47="A",Oct!J47="A",Nov!J47="A",Dec!J47="A"),"A",IF(OR(Jul!J47="2nd Fail",Aug!J47="2nd Fail",Sep!J47="2nd Fail",Oct!J47="2nd Fail",Nov!J47="2nd Fail",Dec!J47="2nd Fail"),"2nd Fail",IF(OR(Jul!J47="1st Fail",Aug!J47="1st Fail",Dec!J47="1st Fail",Sep!J47="1st Fail",Oct!J47="1st Fail",Nov!J47="1st Fail"),"1st Fail","N/A")))</f>
        <v>N/A</v>
      </c>
      <c r="K47" s="206"/>
      <c r="M47" s="209">
        <f>IF(J47=W47,Matrix!M35,IF(J47=W51,Matrix!M36,IF(J47=W52,Matrix!M37,0)))</f>
        <v>0</v>
      </c>
      <c r="O47" s="211">
        <f>IF(M47=Matrix!M35,SUM(O12,O20,O28,O31,O39,O50,O58,O66)*0.25,IF(M47=Matrix!M36,Matrix!M36,IF(M47=Matrix!M37,Matrix!M37,0)))</f>
        <v>0</v>
      </c>
      <c r="P47" s="212"/>
      <c r="R47" s="51"/>
      <c r="W47" s="51" t="s">
        <v>31</v>
      </c>
    </row>
    <row r="48" spans="2:23" x14ac:dyDescent="0.25">
      <c r="B48" s="329"/>
      <c r="D48" s="336"/>
      <c r="E48" s="336"/>
      <c r="G48" s="203"/>
      <c r="I48" s="204"/>
      <c r="J48" s="207"/>
      <c r="K48" s="208"/>
      <c r="M48" s="210"/>
      <c r="O48" s="213"/>
      <c r="P48" s="214"/>
      <c r="W48" s="51" t="s">
        <v>32</v>
      </c>
    </row>
    <row r="49" spans="2:25" x14ac:dyDescent="0.25">
      <c r="B49" s="320"/>
      <c r="G49" s="48"/>
      <c r="O49" s="59"/>
      <c r="P49" s="59"/>
      <c r="W49" s="51" t="s">
        <v>33</v>
      </c>
    </row>
    <row r="50" spans="2:25" ht="15" customHeight="1" x14ac:dyDescent="0.25">
      <c r="B50" s="321" t="s">
        <v>37</v>
      </c>
      <c r="D50" s="337" t="str">
        <f>Matrix!D39</f>
        <v>Sales Vs Budget with Bonus</v>
      </c>
      <c r="E50" s="338"/>
      <c r="G50" s="184">
        <f>Matrix!G39</f>
        <v>0.25</v>
      </c>
      <c r="I50" s="56" t="s">
        <v>101</v>
      </c>
      <c r="J50" s="182" t="str">
        <f ca="1">IF(ISBLANK(INDIRECT(I12&amp;"!K51")),"",INDIRECT(I12&amp;"!O51"))</f>
        <v/>
      </c>
      <c r="K50" s="183"/>
      <c r="M50" s="199">
        <f ca="1">IF(J56="",0,IF(J56&gt;=3%,100,IF(J56&gt;=2%,75,IF(J56&gt;=1%,50,IF(J56&gt;=0,25,0)))))</f>
        <v>25</v>
      </c>
      <c r="O50" s="176">
        <f ca="1">J56</f>
        <v>0</v>
      </c>
      <c r="P50" s="177"/>
      <c r="S50" s="58" t="e">
        <f ca="1">J50/T6</f>
        <v>#VALUE!</v>
      </c>
      <c r="T50" s="58">
        <f>K50</f>
        <v>0</v>
      </c>
      <c r="U50" s="61" t="e">
        <f ca="1">(T50-S50)/S50</f>
        <v>#VALUE!</v>
      </c>
      <c r="W50" s="51" t="s">
        <v>38</v>
      </c>
    </row>
    <row r="51" spans="2:25" x14ac:dyDescent="0.25">
      <c r="B51" s="322"/>
      <c r="D51" s="339"/>
      <c r="E51" s="340"/>
      <c r="G51" s="185"/>
      <c r="I51" s="56" t="s">
        <v>102</v>
      </c>
      <c r="J51" s="182" t="str">
        <f t="shared" ref="J51:J55" ca="1" si="4">IF(ISBLANK(INDIRECT(I13&amp;"!K51")),"",INDIRECT(I13&amp;"!O51"))</f>
        <v/>
      </c>
      <c r="K51" s="183"/>
      <c r="M51" s="200"/>
      <c r="O51" s="178"/>
      <c r="P51" s="179"/>
      <c r="S51" s="58" t="e">
        <f ca="1">S50*2</f>
        <v>#VALUE!</v>
      </c>
      <c r="T51" s="58">
        <f>SUM(K50:K51)</f>
        <v>0</v>
      </c>
      <c r="U51" s="61" t="e">
        <f t="shared" ref="U51:U54" ca="1" si="5">(T51-S51)/S51</f>
        <v>#VALUE!</v>
      </c>
      <c r="W51" s="51" t="s">
        <v>39</v>
      </c>
    </row>
    <row r="52" spans="2:25" x14ac:dyDescent="0.25">
      <c r="B52" s="322"/>
      <c r="D52" s="339"/>
      <c r="E52" s="340"/>
      <c r="G52" s="185"/>
      <c r="I52" s="56" t="s">
        <v>103</v>
      </c>
      <c r="J52" s="182" t="str">
        <f t="shared" ca="1" si="4"/>
        <v/>
      </c>
      <c r="K52" s="183"/>
      <c r="M52" s="200"/>
      <c r="O52" s="178"/>
      <c r="P52" s="179"/>
      <c r="S52" s="58" t="e">
        <f ca="1">S50*3</f>
        <v>#VALUE!</v>
      </c>
      <c r="T52" s="58">
        <f>SUM(K50:K52)</f>
        <v>0</v>
      </c>
      <c r="U52" s="61" t="e">
        <f t="shared" ca="1" si="5"/>
        <v>#VALUE!</v>
      </c>
    </row>
    <row r="53" spans="2:25" x14ac:dyDescent="0.25">
      <c r="B53" s="322"/>
      <c r="D53" s="339"/>
      <c r="E53" s="340"/>
      <c r="G53" s="185"/>
      <c r="I53" s="56" t="s">
        <v>104</v>
      </c>
      <c r="J53" s="182" t="str">
        <f t="shared" ca="1" si="4"/>
        <v/>
      </c>
      <c r="K53" s="183"/>
      <c r="M53" s="200"/>
      <c r="O53" s="178"/>
      <c r="P53" s="179"/>
      <c r="S53" s="58" t="e">
        <f ca="1">S50*4</f>
        <v>#VALUE!</v>
      </c>
      <c r="T53" s="58">
        <f>SUM(K50:K53)</f>
        <v>0</v>
      </c>
      <c r="U53" s="61" t="e">
        <f t="shared" ca="1" si="5"/>
        <v>#VALUE!</v>
      </c>
    </row>
    <row r="54" spans="2:25" x14ac:dyDescent="0.25">
      <c r="B54" s="322"/>
      <c r="D54" s="339"/>
      <c r="E54" s="340"/>
      <c r="G54" s="185"/>
      <c r="I54" s="56" t="s">
        <v>91</v>
      </c>
      <c r="J54" s="182" t="str">
        <f t="shared" ca="1" si="4"/>
        <v/>
      </c>
      <c r="K54" s="183"/>
      <c r="M54" s="200"/>
      <c r="O54" s="178"/>
      <c r="P54" s="179"/>
      <c r="S54" s="58" t="e">
        <f ca="1">S50*5</f>
        <v>#VALUE!</v>
      </c>
      <c r="T54" s="58">
        <f>SUM(K50:K54)</f>
        <v>0</v>
      </c>
      <c r="U54" s="61" t="e">
        <f t="shared" ca="1" si="5"/>
        <v>#VALUE!</v>
      </c>
    </row>
    <row r="55" spans="2:25" x14ac:dyDescent="0.25">
      <c r="B55" s="322"/>
      <c r="D55" s="339"/>
      <c r="E55" s="340"/>
      <c r="G55" s="185"/>
      <c r="I55" s="56" t="s">
        <v>105</v>
      </c>
      <c r="J55" s="182" t="str">
        <f t="shared" ca="1" si="4"/>
        <v/>
      </c>
      <c r="K55" s="183"/>
      <c r="M55" s="200"/>
      <c r="O55" s="178"/>
      <c r="P55" s="179"/>
      <c r="S55" s="58"/>
      <c r="T55" s="58"/>
      <c r="U55" s="61"/>
    </row>
    <row r="56" spans="2:25" x14ac:dyDescent="0.25">
      <c r="B56" s="323"/>
      <c r="D56" s="341"/>
      <c r="E56" s="342"/>
      <c r="G56" s="186"/>
      <c r="I56" s="56" t="s">
        <v>99</v>
      </c>
      <c r="J56" s="182">
        <f ca="1">IFERROR(AVERAGE(J50:K55),0)</f>
        <v>0</v>
      </c>
      <c r="K56" s="183"/>
      <c r="M56" s="201"/>
      <c r="O56" s="180"/>
      <c r="P56" s="181"/>
    </row>
    <row r="57" spans="2:25" x14ac:dyDescent="0.25">
      <c r="B57" s="324"/>
      <c r="C57" s="48"/>
      <c r="D57" s="62"/>
      <c r="E57" s="62"/>
      <c r="G57" s="63"/>
      <c r="I57" s="64"/>
      <c r="J57" s="64"/>
      <c r="K57" s="64"/>
      <c r="M57" s="65"/>
      <c r="O57" s="66"/>
      <c r="P57" s="66"/>
    </row>
    <row r="58" spans="2:25" ht="15" customHeight="1" x14ac:dyDescent="0.25">
      <c r="B58" s="325" t="s">
        <v>42</v>
      </c>
      <c r="D58" s="343" t="str">
        <f>Matrix!D44</f>
        <v>Waste % Vs Budget</v>
      </c>
      <c r="E58" s="344"/>
      <c r="G58" s="184">
        <f>Matrix!G44</f>
        <v>0.1</v>
      </c>
      <c r="I58" s="56" t="s">
        <v>101</v>
      </c>
      <c r="J58" s="182" t="str">
        <f ca="1">IF(ISBLANK(INDIRECT(I12&amp;"!K59")),"",INDIRECT(I12&amp;"!O59"))</f>
        <v/>
      </c>
      <c r="K58" s="183"/>
      <c r="M58" s="217">
        <f ca="1">IFERROR(IF(U59=W61,Y61,IF(U59=W60,Y60,IF(U59=W59,Y59,IF(U59=W58,Y58,0)))),0)</f>
        <v>0</v>
      </c>
      <c r="O58" s="211">
        <f ca="1">J64</f>
        <v>0</v>
      </c>
      <c r="P58" s="212"/>
      <c r="S58" s="67">
        <f ca="1">IFERROR(K58*J58,0)</f>
        <v>0</v>
      </c>
      <c r="T58" s="51" t="s">
        <v>43</v>
      </c>
      <c r="U58" s="68" t="e">
        <f ca="1">SUM(J58:J62)/#REF!</f>
        <v>#REF!</v>
      </c>
      <c r="W58" s="51" t="s">
        <v>44</v>
      </c>
      <c r="X58" s="61">
        <v>7.0000000000000001E-3</v>
      </c>
      <c r="Y58" s="47" t="e">
        <f ca="1">IF($T$64&lt;=X58,100,IF($T$64&lt;=(X58+0.05%),75,IF($T$64&lt;=(X58+0.1%),50,IF($T$64&lt;=(X58+0.15%),25,0))))</f>
        <v>#DIV/0!</v>
      </c>
    </row>
    <row r="59" spans="2:25" ht="15" customHeight="1" x14ac:dyDescent="0.25">
      <c r="B59" s="325"/>
      <c r="D59" s="345"/>
      <c r="E59" s="346"/>
      <c r="G59" s="185"/>
      <c r="I59" s="56" t="s">
        <v>102</v>
      </c>
      <c r="J59" s="182" t="str">
        <f t="shared" ref="J59:J63" ca="1" si="6">IF(ISBLANK(INDIRECT(I13&amp;"!K59")),"",INDIRECT(I13&amp;"!O59"))</f>
        <v/>
      </c>
      <c r="K59" s="183"/>
      <c r="M59" s="218"/>
      <c r="O59" s="215"/>
      <c r="P59" s="216"/>
      <c r="S59" s="67">
        <f t="shared" ref="S59:S61" ca="1" si="7">IFERROR(K59*J59,0)</f>
        <v>0</v>
      </c>
      <c r="T59" s="51" t="s">
        <v>45</v>
      </c>
      <c r="U59" s="69" t="e">
        <f ca="1">IF(U58&gt;100000,"Ultra",IF(U58&gt;80000,"High",IF(U58&gt;60000,"Medium","Low")))</f>
        <v>#REF!</v>
      </c>
      <c r="W59" s="51" t="s">
        <v>46</v>
      </c>
      <c r="X59" s="61">
        <v>8.9999999999999993E-3</v>
      </c>
      <c r="Y59" s="47" t="e">
        <f ca="1">IF($T$64&lt;=X59,100,IF($T$64&lt;=(X59+0.05%),75,IF($T$64&lt;=(X59+0.1%),50,IF($T$64&lt;=(X59+0.15%),25,0))))</f>
        <v>#DIV/0!</v>
      </c>
    </row>
    <row r="60" spans="2:25" ht="15" customHeight="1" x14ac:dyDescent="0.25">
      <c r="B60" s="325"/>
      <c r="D60" s="345"/>
      <c r="E60" s="346"/>
      <c r="G60" s="185"/>
      <c r="I60" s="56" t="s">
        <v>103</v>
      </c>
      <c r="J60" s="182" t="str">
        <f t="shared" ca="1" si="6"/>
        <v/>
      </c>
      <c r="K60" s="183"/>
      <c r="M60" s="218"/>
      <c r="O60" s="215"/>
      <c r="P60" s="216"/>
      <c r="S60" s="67">
        <f t="shared" ca="1" si="7"/>
        <v>0</v>
      </c>
      <c r="U60" s="69"/>
      <c r="W60" s="51" t="s">
        <v>47</v>
      </c>
      <c r="X60" s="61">
        <v>1.0999999999999999E-2</v>
      </c>
      <c r="Y60" s="47" t="e">
        <f ca="1">IF($T$64&lt;=X60,100,IF($T$64&lt;=(X60+0.05%),75,IF($T$64&lt;=(X60+0.1%),50,IF($T$64&lt;=(X60+0.15%),25,0))))</f>
        <v>#DIV/0!</v>
      </c>
    </row>
    <row r="61" spans="2:25" x14ac:dyDescent="0.25">
      <c r="B61" s="325"/>
      <c r="D61" s="345"/>
      <c r="E61" s="346"/>
      <c r="G61" s="185"/>
      <c r="I61" s="56" t="s">
        <v>104</v>
      </c>
      <c r="J61" s="182" t="str">
        <f t="shared" ca="1" si="6"/>
        <v/>
      </c>
      <c r="K61" s="183"/>
      <c r="M61" s="218"/>
      <c r="O61" s="215"/>
      <c r="P61" s="216"/>
      <c r="S61" s="67">
        <f t="shared" ca="1" si="7"/>
        <v>0</v>
      </c>
      <c r="U61" s="69"/>
      <c r="W61" s="51" t="s">
        <v>48</v>
      </c>
      <c r="X61" s="61">
        <v>1.2999999999999999E-2</v>
      </c>
      <c r="Y61" s="47" t="e">
        <f ca="1">IF($T$64&lt;=X61,100,IF($T$64&lt;=(X61+0.05%),75,IF($T$64&lt;=(X61+0.1%),50,IF($T$64&lt;=(X61+0.15%),25,0))))</f>
        <v>#DIV/0!</v>
      </c>
    </row>
    <row r="62" spans="2:25" x14ac:dyDescent="0.25">
      <c r="B62" s="325"/>
      <c r="D62" s="345"/>
      <c r="E62" s="346"/>
      <c r="G62" s="185"/>
      <c r="I62" s="56" t="s">
        <v>91</v>
      </c>
      <c r="J62" s="182" t="str">
        <f t="shared" ca="1" si="6"/>
        <v/>
      </c>
      <c r="K62" s="183"/>
      <c r="M62" s="218"/>
      <c r="O62" s="215"/>
      <c r="P62" s="216"/>
      <c r="S62" s="67"/>
      <c r="U62" s="69"/>
      <c r="W62" s="51"/>
      <c r="X62" s="61"/>
    </row>
    <row r="63" spans="2:25" x14ac:dyDescent="0.25">
      <c r="B63" s="325"/>
      <c r="D63" s="345"/>
      <c r="E63" s="346"/>
      <c r="G63" s="185"/>
      <c r="I63" s="56" t="s">
        <v>105</v>
      </c>
      <c r="J63" s="182" t="str">
        <f t="shared" ca="1" si="6"/>
        <v/>
      </c>
      <c r="K63" s="183"/>
      <c r="M63" s="218"/>
      <c r="O63" s="215"/>
      <c r="P63" s="216"/>
      <c r="S63" s="67"/>
      <c r="U63" s="69"/>
      <c r="W63" s="51"/>
      <c r="X63" s="61"/>
    </row>
    <row r="64" spans="2:25" x14ac:dyDescent="0.25">
      <c r="B64" s="325"/>
      <c r="D64" s="347"/>
      <c r="E64" s="348"/>
      <c r="G64" s="186"/>
      <c r="I64" s="56" t="s">
        <v>99</v>
      </c>
      <c r="J64" s="182">
        <f ca="1">IFERROR(AVERAGE(J58:K63),0)</f>
        <v>0</v>
      </c>
      <c r="K64" s="183"/>
      <c r="M64" s="219"/>
      <c r="O64" s="213"/>
      <c r="P64" s="214"/>
      <c r="S64" s="67">
        <f ca="1">SUM(S58:S61)</f>
        <v>0</v>
      </c>
      <c r="T64" s="61" t="e">
        <f ca="1">S64/SUM(J58:J62)</f>
        <v>#DIV/0!</v>
      </c>
      <c r="U64" s="69"/>
    </row>
    <row r="65" spans="2:22" x14ac:dyDescent="0.25">
      <c r="B65" s="325"/>
      <c r="G65" s="48"/>
    </row>
    <row r="66" spans="2:22" ht="15" customHeight="1" x14ac:dyDescent="0.25">
      <c r="B66" s="325"/>
      <c r="D66" s="343" t="str">
        <f>Matrix!D48</f>
        <v>Total Labour Vs Budget</v>
      </c>
      <c r="E66" s="344"/>
      <c r="G66" s="184">
        <f>Matrix!G48</f>
        <v>0.15</v>
      </c>
      <c r="I66" s="56" t="s">
        <v>101</v>
      </c>
      <c r="J66" s="182" t="str">
        <f ca="1">IF(ISBLANK(INDIRECT(I12&amp;"!J67")),"",INDIRECT(I12&amp;"!O67"))</f>
        <v/>
      </c>
      <c r="K66" s="183"/>
      <c r="M66" s="217">
        <f ca="1">IFERROR(IF(J72&lt;=-1.5%,100,IF(J72&lt;=-1%,75,IF(J72&lt;=-0.5%,50,IF(J72&lt;=0%,25,0)))),0)</f>
        <v>25</v>
      </c>
      <c r="O66" s="211">
        <f ca="1">J72</f>
        <v>0</v>
      </c>
      <c r="P66" s="212"/>
      <c r="S66" s="58" t="str">
        <f ca="1">J58</f>
        <v/>
      </c>
      <c r="T66" s="58" t="e">
        <f ca="1">K66*J58</f>
        <v>#VALUE!</v>
      </c>
      <c r="U66" s="61" t="e">
        <f ca="1">T66/S66</f>
        <v>#VALUE!</v>
      </c>
      <c r="V66" s="61" t="e">
        <f ca="1">U66-$J$66</f>
        <v>#VALUE!</v>
      </c>
    </row>
    <row r="67" spans="2:22" ht="15" customHeight="1" x14ac:dyDescent="0.25">
      <c r="B67" s="325"/>
      <c r="D67" s="345"/>
      <c r="E67" s="346"/>
      <c r="G67" s="185"/>
      <c r="I67" s="56" t="s">
        <v>102</v>
      </c>
      <c r="J67" s="182" t="str">
        <f t="shared" ref="J67:J71" ca="1" si="8">IF(ISBLANK(INDIRECT(I13&amp;"!J67")),"",INDIRECT(I13&amp;"!O67"))</f>
        <v/>
      </c>
      <c r="K67" s="183"/>
      <c r="M67" s="218"/>
      <c r="O67" s="215"/>
      <c r="P67" s="216"/>
      <c r="S67" s="58">
        <f ca="1">SUM(J58:J59)</f>
        <v>0</v>
      </c>
      <c r="T67" s="58" t="e">
        <f ca="1">K67*J59</f>
        <v>#VALUE!</v>
      </c>
      <c r="U67" s="61" t="e">
        <f ca="1">SUM(T66:T67)/S67</f>
        <v>#VALUE!</v>
      </c>
      <c r="V67" s="61" t="e">
        <f t="shared" ref="V67:V70" ca="1" si="9">U67-$J$66</f>
        <v>#VALUE!</v>
      </c>
    </row>
    <row r="68" spans="2:22" ht="15" customHeight="1" x14ac:dyDescent="0.25">
      <c r="B68" s="325"/>
      <c r="D68" s="345"/>
      <c r="E68" s="346"/>
      <c r="G68" s="185"/>
      <c r="I68" s="56" t="s">
        <v>103</v>
      </c>
      <c r="J68" s="182" t="str">
        <f t="shared" ca="1" si="8"/>
        <v/>
      </c>
      <c r="K68" s="183"/>
      <c r="M68" s="218"/>
      <c r="O68" s="215"/>
      <c r="P68" s="216"/>
      <c r="S68" s="58">
        <f ca="1">SUM(J58:J60)</f>
        <v>0</v>
      </c>
      <c r="T68" s="58" t="e">
        <f ca="1">K68*J60</f>
        <v>#VALUE!</v>
      </c>
      <c r="U68" s="61" t="e">
        <f ca="1">SUM(T66:T68)/S68</f>
        <v>#VALUE!</v>
      </c>
      <c r="V68" s="61" t="e">
        <f t="shared" ca="1" si="9"/>
        <v>#VALUE!</v>
      </c>
    </row>
    <row r="69" spans="2:22" x14ac:dyDescent="0.25">
      <c r="B69" s="325"/>
      <c r="D69" s="345"/>
      <c r="E69" s="346"/>
      <c r="G69" s="185"/>
      <c r="I69" s="56" t="s">
        <v>104</v>
      </c>
      <c r="J69" s="182" t="str">
        <f t="shared" ca="1" si="8"/>
        <v/>
      </c>
      <c r="K69" s="183"/>
      <c r="M69" s="218"/>
      <c r="O69" s="215"/>
      <c r="P69" s="216"/>
      <c r="S69" s="58">
        <f ca="1">SUM(J58:J61)</f>
        <v>0</v>
      </c>
      <c r="T69" s="58" t="e">
        <f ca="1">K69*J61</f>
        <v>#VALUE!</v>
      </c>
      <c r="U69" s="61" t="e">
        <f ca="1">SUM(T66:T69)/S69</f>
        <v>#VALUE!</v>
      </c>
      <c r="V69" s="61" t="e">
        <f t="shared" ca="1" si="9"/>
        <v>#VALUE!</v>
      </c>
    </row>
    <row r="70" spans="2:22" x14ac:dyDescent="0.25">
      <c r="B70" s="325"/>
      <c r="D70" s="345"/>
      <c r="E70" s="346"/>
      <c r="G70" s="185"/>
      <c r="I70" s="56" t="s">
        <v>91</v>
      </c>
      <c r="J70" s="182" t="str">
        <f t="shared" ca="1" si="8"/>
        <v/>
      </c>
      <c r="K70" s="183"/>
      <c r="M70" s="218"/>
      <c r="O70" s="215"/>
      <c r="P70" s="216"/>
      <c r="S70" s="58">
        <f ca="1">SUM(J58:J62)</f>
        <v>0</v>
      </c>
      <c r="T70" s="58" t="e">
        <f ca="1">K70*J62</f>
        <v>#VALUE!</v>
      </c>
      <c r="U70" s="61" t="e">
        <f ca="1">SUM(T66:T70)/S70</f>
        <v>#VALUE!</v>
      </c>
      <c r="V70" s="61" t="e">
        <f t="shared" ca="1" si="9"/>
        <v>#VALUE!</v>
      </c>
    </row>
    <row r="71" spans="2:22" x14ac:dyDescent="0.25">
      <c r="B71" s="325"/>
      <c r="D71" s="345"/>
      <c r="E71" s="346"/>
      <c r="G71" s="185"/>
      <c r="I71" s="56" t="s">
        <v>105</v>
      </c>
      <c r="J71" s="182" t="str">
        <f t="shared" ca="1" si="8"/>
        <v/>
      </c>
      <c r="K71" s="183"/>
      <c r="M71" s="218"/>
      <c r="O71" s="215"/>
      <c r="P71" s="216"/>
      <c r="S71" s="58"/>
      <c r="T71" s="58"/>
      <c r="U71" s="61"/>
      <c r="V71" s="61"/>
    </row>
    <row r="72" spans="2:22" x14ac:dyDescent="0.25">
      <c r="B72" s="325"/>
      <c r="D72" s="347"/>
      <c r="E72" s="348"/>
      <c r="G72" s="186"/>
      <c r="I72" s="56" t="s">
        <v>99</v>
      </c>
      <c r="J72" s="182">
        <f ca="1">IFERROR(AVERAGE(J66:K71),0)</f>
        <v>0</v>
      </c>
      <c r="K72" s="183"/>
      <c r="M72" s="219"/>
      <c r="O72" s="213"/>
      <c r="P72" s="214"/>
    </row>
    <row r="73" spans="2:22" x14ac:dyDescent="0.25">
      <c r="B73" s="325"/>
      <c r="G73" s="48"/>
    </row>
    <row r="74" spans="2:22" ht="15" customHeight="1" x14ac:dyDescent="0.25">
      <c r="B74" s="325"/>
      <c r="C74" s="48"/>
      <c r="D74" s="349" t="str">
        <f>Matrix!D52</f>
        <v>EBITDA Vs Budget</v>
      </c>
      <c r="E74" s="349"/>
      <c r="G74" s="220" t="str">
        <f>Matrix!G52</f>
        <v>Qualifier</v>
      </c>
      <c r="H74" s="70"/>
      <c r="I74" s="56" t="s">
        <v>101</v>
      </c>
      <c r="J74" s="236" t="str">
        <f ca="1">IF(ISBLANK(INDIRECT(I12&amp;"!K78")),"",INDIRECT(I12&amp;"!J80"))</f>
        <v/>
      </c>
      <c r="K74" s="237"/>
      <c r="L74" s="70"/>
      <c r="M74" s="221"/>
      <c r="N74" s="71"/>
      <c r="O74" s="350"/>
      <c r="P74" s="351"/>
      <c r="S74" s="51" t="s">
        <v>34</v>
      </c>
      <c r="T74" s="47" t="e">
        <f>SUM(Jul!J78,#REF!,#REF!,#REF!,#REF!,#REF!)</f>
        <v>#REF!</v>
      </c>
    </row>
    <row r="75" spans="2:22" ht="15" customHeight="1" x14ac:dyDescent="0.25">
      <c r="B75" s="325"/>
      <c r="C75" s="48"/>
      <c r="D75" s="349"/>
      <c r="E75" s="349"/>
      <c r="G75" s="220"/>
      <c r="H75" s="70"/>
      <c r="I75" s="56" t="s">
        <v>102</v>
      </c>
      <c r="J75" s="236" t="str">
        <f t="shared" ref="J75:J79" ca="1" si="10">IF(ISBLANK(INDIRECT(I13&amp;"!K78")),"",INDIRECT(I13&amp;"!J80"))</f>
        <v/>
      </c>
      <c r="K75" s="237"/>
      <c r="L75" s="70"/>
      <c r="M75" s="221"/>
      <c r="N75" s="71"/>
      <c r="O75" s="232"/>
      <c r="P75" s="233"/>
      <c r="S75" s="51" t="s">
        <v>19</v>
      </c>
      <c r="T75" s="47" t="e">
        <f>SUM(Jul!K78,#REF!,#REF!,#REF!,#REF!,#REF!)</f>
        <v>#REF!</v>
      </c>
    </row>
    <row r="76" spans="2:22" ht="15" customHeight="1" x14ac:dyDescent="0.25">
      <c r="B76" s="325"/>
      <c r="C76" s="48"/>
      <c r="D76" s="349"/>
      <c r="E76" s="349"/>
      <c r="G76" s="220"/>
      <c r="H76" s="70"/>
      <c r="I76" s="56" t="s">
        <v>103</v>
      </c>
      <c r="J76" s="236" t="str">
        <f t="shared" ca="1" si="10"/>
        <v/>
      </c>
      <c r="K76" s="237"/>
      <c r="L76" s="70"/>
      <c r="M76" s="221"/>
      <c r="N76" s="71"/>
      <c r="O76" s="232"/>
      <c r="P76" s="233"/>
    </row>
    <row r="77" spans="2:22" ht="15" customHeight="1" x14ac:dyDescent="0.25">
      <c r="B77" s="325"/>
      <c r="C77" s="48"/>
      <c r="D77" s="349"/>
      <c r="E77" s="349"/>
      <c r="G77" s="220"/>
      <c r="H77" s="70"/>
      <c r="I77" s="56" t="s">
        <v>104</v>
      </c>
      <c r="J77" s="236" t="str">
        <f t="shared" ca="1" si="10"/>
        <v/>
      </c>
      <c r="K77" s="237"/>
      <c r="L77" s="70"/>
      <c r="M77" s="221"/>
      <c r="N77" s="71"/>
      <c r="O77" s="232"/>
      <c r="P77" s="233"/>
    </row>
    <row r="78" spans="2:22" ht="15" customHeight="1" x14ac:dyDescent="0.25">
      <c r="B78" s="325"/>
      <c r="C78" s="48"/>
      <c r="D78" s="349"/>
      <c r="E78" s="349"/>
      <c r="G78" s="220"/>
      <c r="H78" s="70"/>
      <c r="I78" s="56" t="s">
        <v>91</v>
      </c>
      <c r="J78" s="236" t="str">
        <f t="shared" ca="1" si="10"/>
        <v/>
      </c>
      <c r="K78" s="237"/>
      <c r="L78" s="70"/>
      <c r="M78" s="221"/>
      <c r="N78" s="71"/>
      <c r="O78" s="232"/>
      <c r="P78" s="233"/>
    </row>
    <row r="79" spans="2:22" ht="15" customHeight="1" x14ac:dyDescent="0.25">
      <c r="B79" s="325"/>
      <c r="C79" s="48"/>
      <c r="D79" s="349"/>
      <c r="E79" s="349"/>
      <c r="G79" s="220"/>
      <c r="H79" s="70"/>
      <c r="I79" s="56" t="s">
        <v>105</v>
      </c>
      <c r="J79" s="236" t="str">
        <f t="shared" ca="1" si="10"/>
        <v/>
      </c>
      <c r="K79" s="237"/>
      <c r="L79" s="70"/>
      <c r="M79" s="221"/>
      <c r="N79" s="71"/>
      <c r="O79" s="232"/>
      <c r="P79" s="233"/>
    </row>
    <row r="80" spans="2:22" ht="15" customHeight="1" x14ac:dyDescent="0.25">
      <c r="B80" s="325"/>
      <c r="C80" s="48"/>
      <c r="D80" s="349"/>
      <c r="E80" s="349"/>
      <c r="G80" s="220"/>
      <c r="H80" s="70"/>
      <c r="I80" s="56" t="s">
        <v>17</v>
      </c>
      <c r="J80" s="236" t="str">
        <f>IFERROR((SUM(Jul!K78,#REF!,#REF!,#REF!,#REF!,#REF!)-SUM(Jul!J78,#REF!,#REF!,#REF!,#REF!,#REF!))/ABS(SUM(Jul!J78,#REF!,#REF!,#REF!,#REF!,#REF!)),"")</f>
        <v/>
      </c>
      <c r="K80" s="237"/>
      <c r="L80" s="70"/>
      <c r="M80" s="222"/>
      <c r="N80" s="71"/>
      <c r="O80" s="234"/>
      <c r="P80" s="235"/>
    </row>
    <row r="81" spans="2:19" x14ac:dyDescent="0.25">
      <c r="B81" s="320"/>
    </row>
    <row r="82" spans="2:19" ht="15" customHeight="1" x14ac:dyDescent="0.25">
      <c r="B82" s="326" t="s">
        <v>17</v>
      </c>
      <c r="D82" s="223">
        <f ca="1">IF(J47=W51,"DNQ",SUM(O12,O20,O28,O31,O39,O47,O50,O58,O66))</f>
        <v>5</v>
      </c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5"/>
      <c r="S82" s="72"/>
    </row>
    <row r="83" spans="2:19" ht="15" customHeight="1" x14ac:dyDescent="0.25">
      <c r="B83" s="326"/>
      <c r="D83" s="226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8"/>
    </row>
    <row r="84" spans="2:19" ht="15" customHeight="1" x14ac:dyDescent="0.25">
      <c r="B84" s="326"/>
      <c r="D84" s="226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8"/>
    </row>
    <row r="85" spans="2:19" ht="15" customHeight="1" x14ac:dyDescent="0.25">
      <c r="B85" s="326"/>
      <c r="D85" s="226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8"/>
    </row>
    <row r="86" spans="2:19" ht="15" customHeight="1" x14ac:dyDescent="0.25">
      <c r="B86" s="326"/>
      <c r="D86" s="229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1"/>
    </row>
  </sheetData>
  <mergeCells count="114">
    <mergeCell ref="B82:B86"/>
    <mergeCell ref="D82:P86"/>
    <mergeCell ref="G74:G80"/>
    <mergeCell ref="J74:K74"/>
    <mergeCell ref="M74:M80"/>
    <mergeCell ref="O74:P80"/>
    <mergeCell ref="J75:K75"/>
    <mergeCell ref="J76:K76"/>
    <mergeCell ref="J77:K77"/>
    <mergeCell ref="J78:K78"/>
    <mergeCell ref="J79:K79"/>
    <mergeCell ref="J80:K80"/>
    <mergeCell ref="M66:M72"/>
    <mergeCell ref="O66:P72"/>
    <mergeCell ref="J67:K67"/>
    <mergeCell ref="J68:K68"/>
    <mergeCell ref="J69:K69"/>
    <mergeCell ref="J70:K70"/>
    <mergeCell ref="J71:K71"/>
    <mergeCell ref="J72:K72"/>
    <mergeCell ref="M58:M64"/>
    <mergeCell ref="O58:P64"/>
    <mergeCell ref="J59:K59"/>
    <mergeCell ref="J60:K60"/>
    <mergeCell ref="J61:K61"/>
    <mergeCell ref="J62:K62"/>
    <mergeCell ref="J63:K63"/>
    <mergeCell ref="J64:K64"/>
    <mergeCell ref="J55:K55"/>
    <mergeCell ref="J56:K56"/>
    <mergeCell ref="B58:B80"/>
    <mergeCell ref="D58:E64"/>
    <mergeCell ref="G58:G64"/>
    <mergeCell ref="J58:K58"/>
    <mergeCell ref="D66:E72"/>
    <mergeCell ref="G66:G72"/>
    <mergeCell ref="J66:K66"/>
    <mergeCell ref="D74:E80"/>
    <mergeCell ref="B50:B56"/>
    <mergeCell ref="D50:E56"/>
    <mergeCell ref="G50:G56"/>
    <mergeCell ref="J50:K50"/>
    <mergeCell ref="M50:M56"/>
    <mergeCell ref="O50:P56"/>
    <mergeCell ref="J51:K51"/>
    <mergeCell ref="J52:K52"/>
    <mergeCell ref="J53:K53"/>
    <mergeCell ref="J54:K54"/>
    <mergeCell ref="D47:E48"/>
    <mergeCell ref="G47:G48"/>
    <mergeCell ref="I47:I48"/>
    <mergeCell ref="J47:K48"/>
    <mergeCell ref="M47:M48"/>
    <mergeCell ref="O47:P48"/>
    <mergeCell ref="O39:P45"/>
    <mergeCell ref="J40:K40"/>
    <mergeCell ref="J41:K41"/>
    <mergeCell ref="J42:K42"/>
    <mergeCell ref="J43:K43"/>
    <mergeCell ref="J44:K44"/>
    <mergeCell ref="J45:K45"/>
    <mergeCell ref="J36:K36"/>
    <mergeCell ref="J37:K37"/>
    <mergeCell ref="D39:E45"/>
    <mergeCell ref="G39:G45"/>
    <mergeCell ref="J39:K39"/>
    <mergeCell ref="M39:M45"/>
    <mergeCell ref="B31:B48"/>
    <mergeCell ref="D31:E37"/>
    <mergeCell ref="G31:G37"/>
    <mergeCell ref="J31:K31"/>
    <mergeCell ref="M31:M37"/>
    <mergeCell ref="O31:P37"/>
    <mergeCell ref="J32:K32"/>
    <mergeCell ref="J33:K33"/>
    <mergeCell ref="J34:K34"/>
    <mergeCell ref="J35:K35"/>
    <mergeCell ref="D28:E29"/>
    <mergeCell ref="G28:G29"/>
    <mergeCell ref="I28:I29"/>
    <mergeCell ref="J28:K29"/>
    <mergeCell ref="M28:M29"/>
    <mergeCell ref="O28:P29"/>
    <mergeCell ref="O20:P26"/>
    <mergeCell ref="J21:K21"/>
    <mergeCell ref="J22:K22"/>
    <mergeCell ref="J23:K23"/>
    <mergeCell ref="J24:K24"/>
    <mergeCell ref="J25:K25"/>
    <mergeCell ref="J26:K26"/>
    <mergeCell ref="J17:K17"/>
    <mergeCell ref="J18:K18"/>
    <mergeCell ref="D20:E26"/>
    <mergeCell ref="G20:G26"/>
    <mergeCell ref="J20:K20"/>
    <mergeCell ref="M20:M26"/>
    <mergeCell ref="B12:B29"/>
    <mergeCell ref="D12:E18"/>
    <mergeCell ref="G12:G18"/>
    <mergeCell ref="J12:K12"/>
    <mergeCell ref="M12:M18"/>
    <mergeCell ref="O12:P18"/>
    <mergeCell ref="J13:K13"/>
    <mergeCell ref="J14:K14"/>
    <mergeCell ref="J15:K15"/>
    <mergeCell ref="J16:K16"/>
    <mergeCell ref="G3:P4"/>
    <mergeCell ref="D6:E6"/>
    <mergeCell ref="G6:P6"/>
    <mergeCell ref="D8:E8"/>
    <mergeCell ref="G8:P8"/>
    <mergeCell ref="D10:E10"/>
    <mergeCell ref="I10:K10"/>
    <mergeCell ref="O10:P10"/>
  </mergeCells>
  <conditionalFormatting sqref="I28">
    <cfRule type="duplicateValues" dxfId="0" priority="1"/>
  </conditionalFormatting>
  <printOptions horizontalCentered="1" verticalCentered="1"/>
  <pageMargins left="0.70866141732283472" right="0.70866141732283472" top="0.35433070866141736" bottom="0.35433070866141736" header="0.31496062992125984" footer="0.31496062992125984"/>
  <pageSetup paperSize="9" scale="4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topLeftCell="A7" workbookViewId="0">
      <selection activeCell="J28" sqref="J28:K29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87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4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hidden="1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hidden="1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IF(ISBLANK(Jun!J28),"Complete in June",Jun!J28)</f>
        <v>Complete in June</v>
      </c>
      <c r="K28" s="196"/>
      <c r="L28" s="1"/>
      <c r="M28" s="191">
        <f>IF(J28="Complete in December",0,IF(J28&gt;=Benchmarks!I4,Matrix!M20,IF(J28&gt;=Benchmarks!I5,Matrix!M21,IF(J28&gt;=Benchmarks!I6,Matrix!M22,Matrix!M23))))</f>
        <v>100</v>
      </c>
      <c r="O28" s="248">
        <f>M28*$G$28</f>
        <v>5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hidden="1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hidden="1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hidden="1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IF(J64="",0,IF(J64&lt;J59,Matrix!M44,IF(Jan!J64=J59,Matrix!M45,Matrix!M46)))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hidden="1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hidden="1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5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132" priority="22"/>
  </conditionalFormatting>
  <conditionalFormatting sqref="J12">
    <cfRule type="duplicateValues" dxfId="131" priority="21"/>
  </conditionalFormatting>
  <conditionalFormatting sqref="I21:I26">
    <cfRule type="duplicateValues" dxfId="130" priority="20"/>
  </conditionalFormatting>
  <conditionalFormatting sqref="I32:I35">
    <cfRule type="duplicateValues" dxfId="129" priority="19"/>
  </conditionalFormatting>
  <conditionalFormatting sqref="I37">
    <cfRule type="duplicateValues" dxfId="128" priority="18"/>
  </conditionalFormatting>
  <conditionalFormatting sqref="I51:I55">
    <cfRule type="duplicateValues" dxfId="127" priority="17"/>
  </conditionalFormatting>
  <conditionalFormatting sqref="I56">
    <cfRule type="duplicateValues" dxfId="126" priority="16"/>
  </conditionalFormatting>
  <conditionalFormatting sqref="J20">
    <cfRule type="duplicateValues" dxfId="125" priority="15"/>
  </conditionalFormatting>
  <conditionalFormatting sqref="K20">
    <cfRule type="duplicateValues" dxfId="124" priority="14"/>
  </conditionalFormatting>
  <conditionalFormatting sqref="I40:I43">
    <cfRule type="duplicateValues" dxfId="123" priority="13"/>
  </conditionalFormatting>
  <conditionalFormatting sqref="I45">
    <cfRule type="duplicateValues" dxfId="122" priority="12"/>
  </conditionalFormatting>
  <conditionalFormatting sqref="I47">
    <cfRule type="duplicateValues" dxfId="121" priority="11"/>
  </conditionalFormatting>
  <conditionalFormatting sqref="I59:I62">
    <cfRule type="duplicateValues" dxfId="120" priority="10"/>
  </conditionalFormatting>
  <conditionalFormatting sqref="I64">
    <cfRule type="duplicateValues" dxfId="119" priority="9"/>
  </conditionalFormatting>
  <conditionalFormatting sqref="I67:I71">
    <cfRule type="duplicateValues" dxfId="118" priority="8"/>
  </conditionalFormatting>
  <conditionalFormatting sqref="I72:I73">
    <cfRule type="duplicateValues" dxfId="117" priority="7"/>
  </conditionalFormatting>
  <conditionalFormatting sqref="I78">
    <cfRule type="duplicateValues" dxfId="116" priority="6"/>
  </conditionalFormatting>
  <conditionalFormatting sqref="I80">
    <cfRule type="duplicateValues" dxfId="115" priority="5"/>
  </conditionalFormatting>
  <conditionalFormatting sqref="I36">
    <cfRule type="duplicateValues" dxfId="114" priority="4"/>
  </conditionalFormatting>
  <conditionalFormatting sqref="I44">
    <cfRule type="duplicateValues" dxfId="113" priority="3"/>
  </conditionalFormatting>
  <conditionalFormatting sqref="I63">
    <cfRule type="duplicateValues" dxfId="112" priority="2"/>
  </conditionalFormatting>
  <conditionalFormatting sqref="I28">
    <cfRule type="duplicateValues" dxfId="111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topLeftCell="A7" workbookViewId="0">
      <selection activeCell="J28" sqref="J28:K29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88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4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hidden="1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hidden="1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IF(ISBLANK(Jun!J28),"Complete in June",Jun!J28)</f>
        <v>Complete in June</v>
      </c>
      <c r="K28" s="196"/>
      <c r="L28" s="1"/>
      <c r="M28" s="191">
        <f>IF(J28="Complete in December",0,IF(J28&gt;=Benchmarks!I4,Matrix!M20,IF(J28&gt;=Benchmarks!I5,Matrix!M21,IF(J28&gt;=Benchmarks!I6,Matrix!M22,Matrix!M23))))</f>
        <v>100</v>
      </c>
      <c r="O28" s="248">
        <f>M28*$G$28</f>
        <v>5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hidden="1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hidden="1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hidden="1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IF(J64="",0,IF(J64&lt;J59,Matrix!M44,IF(Feb!J64=J59,Matrix!M45,Matrix!M46)))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hidden="1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hidden="1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5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110" priority="22"/>
  </conditionalFormatting>
  <conditionalFormatting sqref="J12">
    <cfRule type="duplicateValues" dxfId="109" priority="21"/>
  </conditionalFormatting>
  <conditionalFormatting sqref="I21:I26">
    <cfRule type="duplicateValues" dxfId="108" priority="20"/>
  </conditionalFormatting>
  <conditionalFormatting sqref="I32:I35">
    <cfRule type="duplicateValues" dxfId="107" priority="19"/>
  </conditionalFormatting>
  <conditionalFormatting sqref="I37">
    <cfRule type="duplicateValues" dxfId="106" priority="18"/>
  </conditionalFormatting>
  <conditionalFormatting sqref="I51:I55">
    <cfRule type="duplicateValues" dxfId="105" priority="17"/>
  </conditionalFormatting>
  <conditionalFormatting sqref="I56">
    <cfRule type="duplicateValues" dxfId="104" priority="16"/>
  </conditionalFormatting>
  <conditionalFormatting sqref="J20">
    <cfRule type="duplicateValues" dxfId="103" priority="15"/>
  </conditionalFormatting>
  <conditionalFormatting sqref="K20">
    <cfRule type="duplicateValues" dxfId="102" priority="14"/>
  </conditionalFormatting>
  <conditionalFormatting sqref="I40:I43">
    <cfRule type="duplicateValues" dxfId="101" priority="13"/>
  </conditionalFormatting>
  <conditionalFormatting sqref="I45">
    <cfRule type="duplicateValues" dxfId="100" priority="12"/>
  </conditionalFormatting>
  <conditionalFormatting sqref="I47">
    <cfRule type="duplicateValues" dxfId="99" priority="11"/>
  </conditionalFormatting>
  <conditionalFormatting sqref="I59:I62">
    <cfRule type="duplicateValues" dxfId="98" priority="10"/>
  </conditionalFormatting>
  <conditionalFormatting sqref="I64">
    <cfRule type="duplicateValues" dxfId="97" priority="9"/>
  </conditionalFormatting>
  <conditionalFormatting sqref="I67:I71">
    <cfRule type="duplicateValues" dxfId="96" priority="8"/>
  </conditionalFormatting>
  <conditionalFormatting sqref="I72:I73">
    <cfRule type="duplicateValues" dxfId="95" priority="7"/>
  </conditionalFormatting>
  <conditionalFormatting sqref="I78">
    <cfRule type="duplicateValues" dxfId="94" priority="6"/>
  </conditionalFormatting>
  <conditionalFormatting sqref="I80">
    <cfRule type="duplicateValues" dxfId="93" priority="5"/>
  </conditionalFormatting>
  <conditionalFormatting sqref="I36">
    <cfRule type="duplicateValues" dxfId="92" priority="4"/>
  </conditionalFormatting>
  <conditionalFormatting sqref="I44">
    <cfRule type="duplicateValues" dxfId="91" priority="3"/>
  </conditionalFormatting>
  <conditionalFormatting sqref="I63">
    <cfRule type="duplicateValues" dxfId="90" priority="2"/>
  </conditionalFormatting>
  <conditionalFormatting sqref="I28">
    <cfRule type="duplicateValues" dxfId="89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J28" sqref="J28:K29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86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5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IF(ISBLANK(Jun!J28),"Complete in June",Jun!J28)</f>
        <v>Complete in June</v>
      </c>
      <c r="K28" s="196"/>
      <c r="L28" s="1"/>
      <c r="M28" s="191">
        <f>IF(J28="Complete in December",0,IF(J28&gt;=Benchmarks!I4,Matrix!M20,IF(J28&gt;=Benchmarks!I5,Matrix!M21,IF(J28&gt;=Benchmarks!I6,Matrix!M22,Matrix!M23))))</f>
        <v>100</v>
      </c>
      <c r="O28" s="248">
        <f>M28*$G$28</f>
        <v>5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IF(J64="",0,IF(J64&lt;J59,Matrix!M44,IF(Mar!J64=J59,Matrix!M45,Matrix!M46)))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5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88" priority="22"/>
  </conditionalFormatting>
  <conditionalFormatting sqref="J12">
    <cfRule type="duplicateValues" dxfId="87" priority="21"/>
  </conditionalFormatting>
  <conditionalFormatting sqref="I21:I26">
    <cfRule type="duplicateValues" dxfId="86" priority="20"/>
  </conditionalFormatting>
  <conditionalFormatting sqref="I32:I35">
    <cfRule type="duplicateValues" dxfId="85" priority="19"/>
  </conditionalFormatting>
  <conditionalFormatting sqref="I37">
    <cfRule type="duplicateValues" dxfId="84" priority="18"/>
  </conditionalFormatting>
  <conditionalFormatting sqref="I51:I55">
    <cfRule type="duplicateValues" dxfId="83" priority="17"/>
  </conditionalFormatting>
  <conditionalFormatting sqref="I56">
    <cfRule type="duplicateValues" dxfId="82" priority="16"/>
  </conditionalFormatting>
  <conditionalFormatting sqref="J20">
    <cfRule type="duplicateValues" dxfId="81" priority="15"/>
  </conditionalFormatting>
  <conditionalFormatting sqref="K20">
    <cfRule type="duplicateValues" dxfId="80" priority="14"/>
  </conditionalFormatting>
  <conditionalFormatting sqref="I40:I43">
    <cfRule type="duplicateValues" dxfId="79" priority="13"/>
  </conditionalFormatting>
  <conditionalFormatting sqref="I45">
    <cfRule type="duplicateValues" dxfId="78" priority="12"/>
  </conditionalFormatting>
  <conditionalFormatting sqref="I47">
    <cfRule type="duplicateValues" dxfId="77" priority="11"/>
  </conditionalFormatting>
  <conditionalFormatting sqref="I59:I62">
    <cfRule type="duplicateValues" dxfId="76" priority="10"/>
  </conditionalFormatting>
  <conditionalFormatting sqref="I64">
    <cfRule type="duplicateValues" dxfId="75" priority="9"/>
  </conditionalFormatting>
  <conditionalFormatting sqref="I67:I71">
    <cfRule type="duplicateValues" dxfId="74" priority="8"/>
  </conditionalFormatting>
  <conditionalFormatting sqref="I72:I73">
    <cfRule type="duplicateValues" dxfId="73" priority="7"/>
  </conditionalFormatting>
  <conditionalFormatting sqref="I78">
    <cfRule type="duplicateValues" dxfId="72" priority="6"/>
  </conditionalFormatting>
  <conditionalFormatting sqref="I80">
    <cfRule type="duplicateValues" dxfId="71" priority="5"/>
  </conditionalFormatting>
  <conditionalFormatting sqref="I36">
    <cfRule type="duplicateValues" dxfId="70" priority="4"/>
  </conditionalFormatting>
  <conditionalFormatting sqref="I44">
    <cfRule type="duplicateValues" dxfId="69" priority="3"/>
  </conditionalFormatting>
  <conditionalFormatting sqref="I63">
    <cfRule type="duplicateValues" dxfId="68" priority="2"/>
  </conditionalFormatting>
  <conditionalFormatting sqref="I28">
    <cfRule type="duplicateValues" dxfId="67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J28" sqref="J28:K29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90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4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hidden="1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hidden="1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IF(ISBLANK(Jun!J28),"Complete in June",Jun!J28)</f>
        <v>Complete in June</v>
      </c>
      <c r="K28" s="196"/>
      <c r="L28" s="1"/>
      <c r="M28" s="191">
        <f>IF(J28="Complete in December",0,IF(J28&gt;=Benchmarks!I4,Matrix!M20,IF(J28&gt;=Benchmarks!I5,Matrix!M21,IF(J28&gt;=Benchmarks!I6,Matrix!M22,Matrix!M23))))</f>
        <v>100</v>
      </c>
      <c r="O28" s="248">
        <f>M28*$G$28</f>
        <v>5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hidden="1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hidden="1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hidden="1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IF(J64="",0,IF(J64&lt;J59,Matrix!M44,IF(Apr!J64=J59,Matrix!M45,Matrix!M46)))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hidden="1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hidden="1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5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66" priority="22"/>
  </conditionalFormatting>
  <conditionalFormatting sqref="J12">
    <cfRule type="duplicateValues" dxfId="65" priority="21"/>
  </conditionalFormatting>
  <conditionalFormatting sqref="I21:I26">
    <cfRule type="duplicateValues" dxfId="64" priority="20"/>
  </conditionalFormatting>
  <conditionalFormatting sqref="I32:I35">
    <cfRule type="duplicateValues" dxfId="63" priority="19"/>
  </conditionalFormatting>
  <conditionalFormatting sqref="I37">
    <cfRule type="duplicateValues" dxfId="62" priority="18"/>
  </conditionalFormatting>
  <conditionalFormatting sqref="I51:I55">
    <cfRule type="duplicateValues" dxfId="61" priority="17"/>
  </conditionalFormatting>
  <conditionalFormatting sqref="I56">
    <cfRule type="duplicateValues" dxfId="60" priority="16"/>
  </conditionalFormatting>
  <conditionalFormatting sqref="J20">
    <cfRule type="duplicateValues" dxfId="59" priority="15"/>
  </conditionalFormatting>
  <conditionalFormatting sqref="K20">
    <cfRule type="duplicateValues" dxfId="58" priority="14"/>
  </conditionalFormatting>
  <conditionalFormatting sqref="I40:I43">
    <cfRule type="duplicateValues" dxfId="57" priority="13"/>
  </conditionalFormatting>
  <conditionalFormatting sqref="I45">
    <cfRule type="duplicateValues" dxfId="56" priority="12"/>
  </conditionalFormatting>
  <conditionalFormatting sqref="I47">
    <cfRule type="duplicateValues" dxfId="55" priority="11"/>
  </conditionalFormatting>
  <conditionalFormatting sqref="I59:I62">
    <cfRule type="duplicateValues" dxfId="54" priority="10"/>
  </conditionalFormatting>
  <conditionalFormatting sqref="I64">
    <cfRule type="duplicateValues" dxfId="53" priority="9"/>
  </conditionalFormatting>
  <conditionalFormatting sqref="I67:I71">
    <cfRule type="duplicateValues" dxfId="52" priority="8"/>
  </conditionalFormatting>
  <conditionalFormatting sqref="I72:I73">
    <cfRule type="duplicateValues" dxfId="51" priority="7"/>
  </conditionalFormatting>
  <conditionalFormatting sqref="I78">
    <cfRule type="duplicateValues" dxfId="50" priority="6"/>
  </conditionalFormatting>
  <conditionalFormatting sqref="I80">
    <cfRule type="duplicateValues" dxfId="49" priority="5"/>
  </conditionalFormatting>
  <conditionalFormatting sqref="I36">
    <cfRule type="duplicateValues" dxfId="48" priority="4"/>
  </conditionalFormatting>
  <conditionalFormatting sqref="I44">
    <cfRule type="duplicateValues" dxfId="47" priority="3"/>
  </conditionalFormatting>
  <conditionalFormatting sqref="I63">
    <cfRule type="duplicateValues" dxfId="46" priority="2"/>
  </conditionalFormatting>
  <conditionalFormatting sqref="I28">
    <cfRule type="duplicateValues" dxfId="45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J28" sqref="J28:K29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91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4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hidden="1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hidden="1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 t="str">
        <f>IF(ISBLANK(Jun!J28),"Complete in June",Jun!J28)</f>
        <v>Complete in June</v>
      </c>
      <c r="K28" s="196"/>
      <c r="L28" s="1"/>
      <c r="M28" s="191">
        <f>IF(J28="Complete in December",0,IF(J28&gt;=Benchmarks!I4,Matrix!M20,IF(J28&gt;=Benchmarks!I5,Matrix!M21,IF(J28&gt;=Benchmarks!I6,Matrix!M22,Matrix!M23))))</f>
        <v>100</v>
      </c>
      <c r="O28" s="248">
        <f>M28*$G$28</f>
        <v>5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hidden="1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hidden="1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hidden="1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IF(J64="",0,IF(J64&lt;J59,Matrix!M44,IF(May!J64=J59,Matrix!M45,Matrix!M46)))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hidden="1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hidden="1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5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44" priority="22"/>
  </conditionalFormatting>
  <conditionalFormatting sqref="J12">
    <cfRule type="duplicateValues" dxfId="43" priority="21"/>
  </conditionalFormatting>
  <conditionalFormatting sqref="I21:I26">
    <cfRule type="duplicateValues" dxfId="42" priority="20"/>
  </conditionalFormatting>
  <conditionalFormatting sqref="I32:I35">
    <cfRule type="duplicateValues" dxfId="41" priority="19"/>
  </conditionalFormatting>
  <conditionalFormatting sqref="I37">
    <cfRule type="duplicateValues" dxfId="40" priority="18"/>
  </conditionalFormatting>
  <conditionalFormatting sqref="I51:I55">
    <cfRule type="duplicateValues" dxfId="39" priority="17"/>
  </conditionalFormatting>
  <conditionalFormatting sqref="I56">
    <cfRule type="duplicateValues" dxfId="38" priority="16"/>
  </conditionalFormatting>
  <conditionalFormatting sqref="J20">
    <cfRule type="duplicateValues" dxfId="37" priority="15"/>
  </conditionalFormatting>
  <conditionalFormatting sqref="K20">
    <cfRule type="duplicateValues" dxfId="36" priority="14"/>
  </conditionalFormatting>
  <conditionalFormatting sqref="I40:I43">
    <cfRule type="duplicateValues" dxfId="35" priority="13"/>
  </conditionalFormatting>
  <conditionalFormatting sqref="I45">
    <cfRule type="duplicateValues" dxfId="34" priority="12"/>
  </conditionalFormatting>
  <conditionalFormatting sqref="I47">
    <cfRule type="duplicateValues" dxfId="33" priority="11"/>
  </conditionalFormatting>
  <conditionalFormatting sqref="I59:I62">
    <cfRule type="duplicateValues" dxfId="32" priority="10"/>
  </conditionalFormatting>
  <conditionalFormatting sqref="I64">
    <cfRule type="duplicateValues" dxfId="31" priority="9"/>
  </conditionalFormatting>
  <conditionalFormatting sqref="I67:I71">
    <cfRule type="duplicateValues" dxfId="30" priority="8"/>
  </conditionalFormatting>
  <conditionalFormatting sqref="I72:I73">
    <cfRule type="duplicateValues" dxfId="29" priority="7"/>
  </conditionalFormatting>
  <conditionalFormatting sqref="I78">
    <cfRule type="duplicateValues" dxfId="28" priority="6"/>
  </conditionalFormatting>
  <conditionalFormatting sqref="I80">
    <cfRule type="duplicateValues" dxfId="27" priority="5"/>
  </conditionalFormatting>
  <conditionalFormatting sqref="I36">
    <cfRule type="duplicateValues" dxfId="26" priority="4"/>
  </conditionalFormatting>
  <conditionalFormatting sqref="I44">
    <cfRule type="duplicateValues" dxfId="25" priority="3"/>
  </conditionalFormatting>
  <conditionalFormatting sqref="I63">
    <cfRule type="duplicateValues" dxfId="24" priority="2"/>
  </conditionalFormatting>
  <conditionalFormatting sqref="I28">
    <cfRule type="duplicateValues" dxfId="23" priority="1"/>
  </conditionalFormatting>
  <dataValidations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86"/>
  <sheetViews>
    <sheetView workbookViewId="0">
      <selection activeCell="J15" sqref="J15:K15"/>
    </sheetView>
  </sheetViews>
  <sheetFormatPr defaultColWidth="10.140625" defaultRowHeight="15" x14ac:dyDescent="0.25"/>
  <cols>
    <col min="1" max="1" width="10.140625" style="2"/>
    <col min="2" max="2" width="4.42578125" style="2" customWidth="1"/>
    <col min="3" max="3" width="2.28515625" style="2" customWidth="1"/>
    <col min="4" max="5" width="8.42578125" style="2" customWidth="1"/>
    <col min="6" max="6" width="2.28515625" style="2" customWidth="1"/>
    <col min="7" max="7" width="9.85546875" style="2" customWidth="1"/>
    <col min="8" max="8" width="2.28515625" style="2" customWidth="1"/>
    <col min="9" max="9" width="10.85546875" style="2" customWidth="1"/>
    <col min="10" max="11" width="11.5703125" style="2" customWidth="1"/>
    <col min="12" max="12" width="2.28515625" style="2" customWidth="1"/>
    <col min="13" max="13" width="11.28515625" style="2" customWidth="1"/>
    <col min="14" max="14" width="2.28515625" style="2" customWidth="1"/>
    <col min="15" max="16" width="8.140625" style="2" customWidth="1"/>
    <col min="17" max="17" width="14.140625" style="2" customWidth="1"/>
    <col min="18" max="18" width="10.140625" style="2" hidden="1" customWidth="1"/>
    <col min="19" max="19" width="14.42578125" style="2" hidden="1" customWidth="1"/>
    <col min="20" max="21" width="11.5703125" style="2" hidden="1" customWidth="1"/>
    <col min="22" max="25" width="10.140625" style="2" hidden="1" customWidth="1"/>
    <col min="26" max="26" width="10.140625" style="2" customWidth="1"/>
    <col min="27" max="16384" width="10.140625" style="2"/>
  </cols>
  <sheetData>
    <row r="2" spans="1:20" ht="15" customHeight="1" x14ac:dyDescent="0.25">
      <c r="A2" s="1"/>
      <c r="C2" s="3"/>
      <c r="D2" s="3"/>
      <c r="E2" s="3"/>
      <c r="F2" s="3"/>
      <c r="G2" s="3"/>
      <c r="H2" s="3"/>
      <c r="I2" s="3"/>
      <c r="J2" s="3"/>
      <c r="K2" s="3"/>
      <c r="L2" s="1"/>
    </row>
    <row r="3" spans="1:20" ht="15" customHeight="1" x14ac:dyDescent="0.25">
      <c r="A3" s="1"/>
      <c r="B3" s="3"/>
      <c r="C3" s="3"/>
      <c r="D3" s="113" t="s">
        <v>126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20" ht="15" customHeight="1" x14ac:dyDescent="0.25">
      <c r="A4" s="1"/>
      <c r="B4" s="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</row>
    <row r="5" spans="1:20" ht="15" customHeight="1" x14ac:dyDescent="0.25">
      <c r="A5" s="1"/>
      <c r="B5" s="3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0" ht="15" customHeight="1" x14ac:dyDescent="0.25">
      <c r="A6" s="1"/>
      <c r="B6" s="3"/>
      <c r="D6" s="114" t="s">
        <v>0</v>
      </c>
      <c r="E6" s="115"/>
      <c r="F6" s="5"/>
      <c r="G6" s="115" t="s">
        <v>89</v>
      </c>
      <c r="H6" s="115"/>
      <c r="I6" s="115"/>
      <c r="J6" s="115"/>
      <c r="K6" s="115"/>
      <c r="L6" s="115"/>
      <c r="M6" s="115"/>
      <c r="N6" s="115"/>
      <c r="O6" s="115"/>
      <c r="P6" s="116"/>
      <c r="S6" s="6" t="s">
        <v>2</v>
      </c>
      <c r="T6" s="2">
        <v>5</v>
      </c>
    </row>
    <row r="7" spans="1:20" ht="5.25" customHeight="1" x14ac:dyDescent="0.25">
      <c r="A7" s="1"/>
      <c r="B7" s="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0" ht="15" customHeight="1" x14ac:dyDescent="0.25">
      <c r="A8" s="1"/>
      <c r="B8" s="3"/>
      <c r="C8" s="3"/>
      <c r="D8" s="114" t="s">
        <v>3</v>
      </c>
      <c r="E8" s="115"/>
      <c r="F8" s="5"/>
      <c r="G8" s="173"/>
      <c r="H8" s="173"/>
      <c r="I8" s="173"/>
      <c r="J8" s="173"/>
      <c r="K8" s="173"/>
      <c r="L8" s="7"/>
      <c r="M8" s="93" t="s">
        <v>4</v>
      </c>
      <c r="N8" s="7"/>
      <c r="O8" s="173"/>
      <c r="P8" s="174"/>
    </row>
    <row r="9" spans="1:20" ht="6" customHeight="1" x14ac:dyDescent="0.2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20" ht="16.5" customHeight="1" x14ac:dyDescent="0.25">
      <c r="A10" s="1"/>
      <c r="B10" s="1"/>
      <c r="C10" s="1"/>
      <c r="D10" s="114" t="s">
        <v>5</v>
      </c>
      <c r="E10" s="116"/>
      <c r="F10" s="1"/>
      <c r="G10" s="92" t="s">
        <v>6</v>
      </c>
      <c r="H10" s="1"/>
      <c r="I10" s="117" t="s">
        <v>7</v>
      </c>
      <c r="J10" s="117"/>
      <c r="K10" s="117"/>
      <c r="L10" s="1"/>
      <c r="M10" s="92" t="s">
        <v>8</v>
      </c>
      <c r="O10" s="117" t="s">
        <v>9</v>
      </c>
      <c r="P10" s="117"/>
    </row>
    <row r="11" spans="1:20" ht="6.75" customHeight="1" x14ac:dyDescent="0.25">
      <c r="A11" s="1"/>
      <c r="B11" s="10" t="s">
        <v>10</v>
      </c>
      <c r="C11" s="1"/>
      <c r="D11" s="1"/>
      <c r="E11" s="11"/>
      <c r="F11" s="1"/>
      <c r="G11" s="1"/>
      <c r="H11" s="1"/>
      <c r="I11" s="1"/>
      <c r="J11" s="1"/>
      <c r="K11" s="1"/>
      <c r="L11" s="1"/>
    </row>
    <row r="12" spans="1:20" ht="15" customHeight="1" x14ac:dyDescent="0.25">
      <c r="A12" s="1"/>
      <c r="B12" s="10"/>
      <c r="C12" s="1"/>
      <c r="D12" s="1"/>
      <c r="E12" s="11"/>
      <c r="F12" s="1"/>
      <c r="G12" s="1"/>
      <c r="H12" s="1"/>
      <c r="I12" s="1"/>
      <c r="J12" s="239" t="s">
        <v>114</v>
      </c>
      <c r="K12" s="240"/>
      <c r="L12" s="1"/>
    </row>
    <row r="13" spans="1:20" ht="15" customHeight="1" x14ac:dyDescent="0.25">
      <c r="A13" s="1"/>
      <c r="B13" s="241" t="s">
        <v>11</v>
      </c>
      <c r="C13" s="1"/>
      <c r="D13" s="100" t="str">
        <f>Matrix!D10</f>
        <v>Restaurant Proficiency</v>
      </c>
      <c r="E13" s="100"/>
      <c r="F13" s="12"/>
      <c r="G13" s="101">
        <f>Matrix!G10</f>
        <v>0.1</v>
      </c>
      <c r="H13" s="1"/>
      <c r="I13" s="96" t="s">
        <v>12</v>
      </c>
      <c r="J13" s="242"/>
      <c r="K13" s="243"/>
      <c r="L13" s="1"/>
      <c r="M13" s="191">
        <f>IF(J18="",0,IF(J18&gt;=Benchmarks!G4,Matrix!M10,IF(J18&gt;=Benchmarks!G5,Matrix!M11,IF(J18&gt;=Benchmarks!G6,Matrix!M12,Matrix!M13))))</f>
        <v>0</v>
      </c>
      <c r="O13" s="248">
        <f>M13*$G$13</f>
        <v>0</v>
      </c>
      <c r="P13" s="249"/>
    </row>
    <row r="14" spans="1:20" ht="15" customHeight="1" x14ac:dyDescent="0.25">
      <c r="A14" s="1"/>
      <c r="B14" s="241"/>
      <c r="C14" s="1"/>
      <c r="D14" s="100"/>
      <c r="E14" s="100"/>
      <c r="F14" s="12"/>
      <c r="G14" s="102"/>
      <c r="H14" s="1"/>
      <c r="I14" s="96" t="s">
        <v>13</v>
      </c>
      <c r="J14" s="242"/>
      <c r="K14" s="243"/>
      <c r="L14" s="1"/>
      <c r="M14" s="247"/>
      <c r="O14" s="250"/>
      <c r="P14" s="251"/>
    </row>
    <row r="15" spans="1:20" ht="15" customHeight="1" x14ac:dyDescent="0.25">
      <c r="A15" s="1"/>
      <c r="B15" s="241"/>
      <c r="C15" s="1"/>
      <c r="D15" s="100"/>
      <c r="E15" s="100"/>
      <c r="F15" s="12"/>
      <c r="G15" s="102"/>
      <c r="H15" s="1"/>
      <c r="I15" s="96" t="s">
        <v>14</v>
      </c>
      <c r="J15" s="242"/>
      <c r="K15" s="243"/>
      <c r="L15" s="1"/>
      <c r="M15" s="247"/>
      <c r="O15" s="250"/>
      <c r="P15" s="251"/>
    </row>
    <row r="16" spans="1:20" ht="15" customHeight="1" x14ac:dyDescent="0.25">
      <c r="A16" s="1"/>
      <c r="B16" s="241"/>
      <c r="C16" s="1"/>
      <c r="D16" s="100"/>
      <c r="E16" s="100"/>
      <c r="F16" s="12"/>
      <c r="G16" s="102"/>
      <c r="H16" s="1"/>
      <c r="I16" s="96" t="s">
        <v>15</v>
      </c>
      <c r="J16" s="242"/>
      <c r="K16" s="243"/>
      <c r="L16" s="1"/>
      <c r="M16" s="247"/>
      <c r="O16" s="250"/>
      <c r="P16" s="251"/>
    </row>
    <row r="17" spans="1:20" ht="15" customHeight="1" x14ac:dyDescent="0.25">
      <c r="A17" s="1"/>
      <c r="B17" s="241"/>
      <c r="C17" s="1"/>
      <c r="D17" s="100"/>
      <c r="E17" s="100"/>
      <c r="F17" s="12"/>
      <c r="G17" s="102"/>
      <c r="H17" s="1"/>
      <c r="I17" s="96" t="s">
        <v>16</v>
      </c>
      <c r="J17" s="242"/>
      <c r="K17" s="243"/>
      <c r="L17" s="1"/>
      <c r="M17" s="247"/>
      <c r="O17" s="250"/>
      <c r="P17" s="251"/>
    </row>
    <row r="18" spans="1:20" x14ac:dyDescent="0.25">
      <c r="B18" s="241"/>
      <c r="D18" s="100"/>
      <c r="E18" s="100"/>
      <c r="F18" s="12"/>
      <c r="G18" s="103"/>
      <c r="I18" s="96" t="s">
        <v>17</v>
      </c>
      <c r="J18" s="254" t="str">
        <f t="array" ref="J18">IF(ISBLANK(J13),"",(LOOKUP(2,1/(J13:J17&lt;&gt;""),J13:J17)))</f>
        <v/>
      </c>
      <c r="K18" s="255"/>
      <c r="M18" s="192"/>
      <c r="O18" s="252"/>
      <c r="P18" s="253"/>
    </row>
    <row r="19" spans="1:20" x14ac:dyDescent="0.25">
      <c r="B19" s="241"/>
      <c r="G19" s="1"/>
      <c r="J19" s="14"/>
      <c r="K19" s="14"/>
      <c r="O19" s="1"/>
      <c r="P19" s="1"/>
    </row>
    <row r="20" spans="1:20" x14ac:dyDescent="0.25">
      <c r="B20" s="241"/>
      <c r="G20" s="1"/>
      <c r="J20" s="96" t="s">
        <v>18</v>
      </c>
      <c r="K20" s="96" t="s">
        <v>19</v>
      </c>
      <c r="O20" s="1"/>
      <c r="P20" s="1"/>
    </row>
    <row r="21" spans="1:20" ht="15" customHeight="1" x14ac:dyDescent="0.25">
      <c r="B21" s="241"/>
      <c r="D21" s="100" t="str">
        <f>Matrix!D15</f>
        <v>Crew Staffing Tiered by Sales Band</v>
      </c>
      <c r="E21" s="100"/>
      <c r="G21" s="101">
        <f>Matrix!G15</f>
        <v>0.1</v>
      </c>
      <c r="I21" s="96" t="s">
        <v>12</v>
      </c>
      <c r="J21" s="244" t="str">
        <f>IFERROR(T26,"Enter Sales")</f>
        <v>Enter Sales</v>
      </c>
      <c r="K21" s="15"/>
      <c r="L21" s="1"/>
      <c r="M21" s="191">
        <f>IFERROR(IF(ISBLANK(K21),0,IF(J26&gt;=T26,Matrix!M15,IF(J26&gt;=T24,Matrix!M16,IF(J26&gt;=T23,Matrix!M17,Matrix!M18)))),0)</f>
        <v>0</v>
      </c>
      <c r="O21" s="248">
        <f>M21*$G$21</f>
        <v>0</v>
      </c>
      <c r="P21" s="249"/>
      <c r="S21" s="6" t="s">
        <v>20</v>
      </c>
      <c r="T21" s="16">
        <f>MROUND(U59,5000)</f>
        <v>0</v>
      </c>
    </row>
    <row r="22" spans="1:20" ht="15" customHeight="1" x14ac:dyDescent="0.25">
      <c r="B22" s="241"/>
      <c r="D22" s="100"/>
      <c r="E22" s="100"/>
      <c r="G22" s="102"/>
      <c r="I22" s="96" t="s">
        <v>13</v>
      </c>
      <c r="J22" s="245"/>
      <c r="K22" s="15"/>
      <c r="L22" s="1"/>
      <c r="M22" s="247"/>
      <c r="O22" s="250"/>
      <c r="P22" s="251"/>
      <c r="S22" s="6" t="s">
        <v>21</v>
      </c>
      <c r="T22" s="2" t="e">
        <f>VLOOKUP($T$21,'Crew Staffing Bands'!$A$1:$E$23,2,FALSE)</f>
        <v>#N/A</v>
      </c>
    </row>
    <row r="23" spans="1:20" ht="15" customHeight="1" x14ac:dyDescent="0.25">
      <c r="B23" s="241"/>
      <c r="D23" s="100"/>
      <c r="E23" s="100"/>
      <c r="G23" s="102"/>
      <c r="I23" s="96" t="s">
        <v>14</v>
      </c>
      <c r="J23" s="245"/>
      <c r="K23" s="15"/>
      <c r="L23" s="1"/>
      <c r="M23" s="247"/>
      <c r="O23" s="250"/>
      <c r="P23" s="251"/>
      <c r="S23" s="6" t="s">
        <v>22</v>
      </c>
      <c r="T23" s="2" t="e">
        <f>VLOOKUP($T$21,'Crew Staffing Bands'!$A$1:$E$23,3,FALSE)</f>
        <v>#N/A</v>
      </c>
    </row>
    <row r="24" spans="1:20" ht="15" customHeight="1" x14ac:dyDescent="0.25">
      <c r="B24" s="241"/>
      <c r="D24" s="100"/>
      <c r="E24" s="100"/>
      <c r="G24" s="102"/>
      <c r="I24" s="96" t="s">
        <v>15</v>
      </c>
      <c r="J24" s="245"/>
      <c r="K24" s="15"/>
      <c r="L24" s="1"/>
      <c r="M24" s="247"/>
      <c r="O24" s="250"/>
      <c r="P24" s="251"/>
      <c r="S24" s="6" t="s">
        <v>23</v>
      </c>
      <c r="T24" s="2" t="e">
        <f>VLOOKUP($T$21,'Crew Staffing Bands'!$A$1:$E$23,4,FALSE)</f>
        <v>#N/A</v>
      </c>
    </row>
    <row r="25" spans="1:20" ht="15" customHeight="1" x14ac:dyDescent="0.25">
      <c r="B25" s="241"/>
      <c r="D25" s="100"/>
      <c r="E25" s="100"/>
      <c r="G25" s="102"/>
      <c r="I25" s="96" t="s">
        <v>16</v>
      </c>
      <c r="J25" s="246"/>
      <c r="K25" s="15"/>
      <c r="L25" s="1"/>
      <c r="M25" s="247"/>
      <c r="O25" s="250"/>
      <c r="P25" s="251"/>
      <c r="S25" s="6"/>
    </row>
    <row r="26" spans="1:20" x14ac:dyDescent="0.25">
      <c r="B26" s="241"/>
      <c r="D26" s="100"/>
      <c r="E26" s="100"/>
      <c r="G26" s="103"/>
      <c r="I26" s="96" t="s">
        <v>17</v>
      </c>
      <c r="J26" s="257" t="str">
        <f t="array" ref="J26">IF(ISBLANK(K21),"",(LOOKUP(2,1/(K21:K25&lt;&gt;""),K21:K25)))</f>
        <v/>
      </c>
      <c r="K26" s="258"/>
      <c r="M26" s="192"/>
      <c r="O26" s="252"/>
      <c r="P26" s="253"/>
      <c r="S26" s="6" t="s">
        <v>24</v>
      </c>
      <c r="T26" s="2" t="e">
        <f>VLOOKUP($T$21,'Crew Staffing Bands'!$A$1:$E$23,5,FALSE)</f>
        <v>#N/A</v>
      </c>
    </row>
    <row r="27" spans="1:20" x14ac:dyDescent="0.25">
      <c r="B27" s="241"/>
      <c r="G27" s="1"/>
      <c r="O27" s="1"/>
      <c r="P27" s="1"/>
    </row>
    <row r="28" spans="1:20" ht="15" customHeight="1" x14ac:dyDescent="0.25">
      <c r="B28" s="241"/>
      <c r="D28" s="100" t="str">
        <f>Matrix!D20</f>
        <v>Safety Audit (6 Monthly)</v>
      </c>
      <c r="E28" s="100"/>
      <c r="G28" s="256">
        <f>Matrix!G20</f>
        <v>0.05</v>
      </c>
      <c r="I28" s="193" t="s">
        <v>118</v>
      </c>
      <c r="J28" s="195"/>
      <c r="K28" s="196"/>
      <c r="L28" s="1"/>
      <c r="M28" s="191">
        <f>IF(J28="Complete in December",0,IF(J28&gt;=Benchmarks!I4,Matrix!M20,IF(J28&gt;=Benchmarks!I5,Matrix!M21,IF(J28&gt;=Benchmarks!I6,Matrix!M22,Matrix!M23))))</f>
        <v>0</v>
      </c>
      <c r="O28" s="248">
        <f>M28*$G$28</f>
        <v>0</v>
      </c>
      <c r="P28" s="249"/>
    </row>
    <row r="29" spans="1:20" x14ac:dyDescent="0.25">
      <c r="B29" s="241"/>
      <c r="D29" s="100"/>
      <c r="E29" s="100"/>
      <c r="G29" s="256"/>
      <c r="I29" s="193"/>
      <c r="J29" s="197"/>
      <c r="K29" s="198"/>
      <c r="L29" s="1"/>
      <c r="M29" s="192"/>
      <c r="O29" s="252"/>
      <c r="P29" s="253"/>
    </row>
    <row r="30" spans="1:20" x14ac:dyDescent="0.25">
      <c r="G30" s="1"/>
      <c r="O30" s="1"/>
      <c r="P30" s="1"/>
    </row>
    <row r="31" spans="1:20" x14ac:dyDescent="0.25">
      <c r="G31" s="1"/>
      <c r="I31" s="17"/>
      <c r="J31" s="96" t="s">
        <v>25</v>
      </c>
      <c r="K31" s="96" t="s">
        <v>26</v>
      </c>
      <c r="O31" s="1"/>
      <c r="P31" s="1"/>
    </row>
    <row r="32" spans="1:20" ht="15" customHeight="1" x14ac:dyDescent="0.25">
      <c r="B32" s="267" t="s">
        <v>27</v>
      </c>
      <c r="D32" s="124" t="str">
        <f>Matrix!D25</f>
        <v>Market Force Complaints Per 10k</v>
      </c>
      <c r="E32" s="125"/>
      <c r="F32" s="12"/>
      <c r="G32" s="101">
        <f>Matrix!G25</f>
        <v>0.15</v>
      </c>
      <c r="I32" s="96" t="s">
        <v>12</v>
      </c>
      <c r="J32" s="18"/>
      <c r="K32" s="18"/>
      <c r="M32" s="263">
        <f>IF(J37&lt;=Benchmarks!C5,Matrix!M25,IF(J37&lt;Benchmarks!C6,Matrix!M26,IF(J37&lt;Benchmarks!C7,Matrix!M27,Matrix!M28)))</f>
        <v>0</v>
      </c>
      <c r="O32" s="248">
        <f>M32*$G$32</f>
        <v>0</v>
      </c>
      <c r="P32" s="249"/>
    </row>
    <row r="33" spans="2:23" x14ac:dyDescent="0.25">
      <c r="B33" s="267"/>
      <c r="D33" s="126"/>
      <c r="E33" s="127"/>
      <c r="F33" s="12"/>
      <c r="G33" s="102"/>
      <c r="I33" s="96" t="s">
        <v>13</v>
      </c>
      <c r="J33" s="18"/>
      <c r="K33" s="18"/>
      <c r="M33" s="264"/>
      <c r="O33" s="250"/>
      <c r="P33" s="251"/>
    </row>
    <row r="34" spans="2:23" x14ac:dyDescent="0.25">
      <c r="B34" s="267"/>
      <c r="D34" s="126"/>
      <c r="E34" s="127"/>
      <c r="F34" s="12"/>
      <c r="G34" s="102"/>
      <c r="I34" s="96" t="s">
        <v>14</v>
      </c>
      <c r="J34" s="18"/>
      <c r="K34" s="18"/>
      <c r="M34" s="264"/>
      <c r="O34" s="250"/>
      <c r="P34" s="251"/>
    </row>
    <row r="35" spans="2:23" x14ac:dyDescent="0.25">
      <c r="B35" s="267"/>
      <c r="D35" s="126"/>
      <c r="E35" s="127"/>
      <c r="F35" s="12"/>
      <c r="G35" s="102"/>
      <c r="I35" s="96" t="s">
        <v>15</v>
      </c>
      <c r="J35" s="18"/>
      <c r="K35" s="18"/>
      <c r="M35" s="264"/>
      <c r="O35" s="250"/>
      <c r="P35" s="251"/>
    </row>
    <row r="36" spans="2:23" x14ac:dyDescent="0.25">
      <c r="B36" s="267"/>
      <c r="D36" s="126"/>
      <c r="E36" s="127"/>
      <c r="F36" s="12"/>
      <c r="G36" s="102"/>
      <c r="I36" s="96" t="s">
        <v>16</v>
      </c>
      <c r="J36" s="18"/>
      <c r="K36" s="18"/>
      <c r="M36" s="264"/>
      <c r="O36" s="250"/>
      <c r="P36" s="251"/>
    </row>
    <row r="37" spans="2:23" x14ac:dyDescent="0.25">
      <c r="B37" s="267"/>
      <c r="D37" s="128"/>
      <c r="E37" s="129"/>
      <c r="F37" s="12"/>
      <c r="G37" s="103"/>
      <c r="I37" s="96" t="s">
        <v>17</v>
      </c>
      <c r="J37" s="268" t="str">
        <f>IF(ISBLANK(K32),"",SUM(K31:K36)/(SUM(J31:J36)/10000))</f>
        <v/>
      </c>
      <c r="K37" s="268"/>
      <c r="M37" s="265"/>
      <c r="O37" s="252"/>
      <c r="P37" s="253"/>
    </row>
    <row r="38" spans="2:23" x14ac:dyDescent="0.25">
      <c r="B38" s="267"/>
      <c r="G38" s="1"/>
      <c r="O38" s="81"/>
      <c r="P38" s="81"/>
    </row>
    <row r="39" spans="2:23" x14ac:dyDescent="0.25">
      <c r="B39" s="267"/>
      <c r="G39" s="1"/>
      <c r="I39" s="17"/>
      <c r="J39" s="74" t="s">
        <v>115</v>
      </c>
      <c r="K39" s="74" t="s">
        <v>116</v>
      </c>
      <c r="O39" s="81"/>
      <c r="P39" s="81"/>
    </row>
    <row r="40" spans="2:23" ht="15" customHeight="1" x14ac:dyDescent="0.25">
      <c r="B40" s="267"/>
      <c r="D40" s="124" t="str">
        <f>Matrix!D30</f>
        <v>Perfect Car Count</v>
      </c>
      <c r="E40" s="125"/>
      <c r="F40" s="12"/>
      <c r="G40" s="101">
        <f>Matrix!G30</f>
        <v>0.1</v>
      </c>
      <c r="I40" s="96" t="s">
        <v>12</v>
      </c>
      <c r="J40" s="75"/>
      <c r="K40" s="76" t="str">
        <f>IF(ISBLANK(J40),"",_xlfn.FLOOR.MATH(3600/(J40*(24*60))))</f>
        <v/>
      </c>
      <c r="M40" s="191">
        <f>IF(ISBLANK(J40),0,IF(J45&gt;=Benchmarks!E4,Matrix!M30,IF(J45&gt;=Benchmarks!E5,Matrix!M31,IF(J45&gt;=Benchmarks!E6,Matrix!M32,Matrix!M33))))</f>
        <v>0</v>
      </c>
      <c r="O40" s="248">
        <f>M40*$G$40</f>
        <v>0</v>
      </c>
      <c r="P40" s="249"/>
      <c r="S40" s="6" t="s">
        <v>21</v>
      </c>
      <c r="T40" s="20">
        <v>2.4305555555555556E-2</v>
      </c>
    </row>
    <row r="41" spans="2:23" x14ac:dyDescent="0.25">
      <c r="B41" s="267"/>
      <c r="D41" s="126"/>
      <c r="E41" s="127"/>
      <c r="F41" s="12"/>
      <c r="G41" s="102"/>
      <c r="I41" s="96" t="s">
        <v>13</v>
      </c>
      <c r="J41" s="75"/>
      <c r="K41" s="76" t="str">
        <f t="shared" ref="K41:K44" si="0">IF(ISBLANK(J41),"",_xlfn.FLOOR.MATH(3600/(J41*(24*60))))</f>
        <v/>
      </c>
      <c r="M41" s="247"/>
      <c r="O41" s="250"/>
      <c r="P41" s="251"/>
      <c r="S41" s="6" t="s">
        <v>22</v>
      </c>
      <c r="T41" s="20">
        <v>2.5694444444444447E-2</v>
      </c>
    </row>
    <row r="42" spans="2:23" x14ac:dyDescent="0.25">
      <c r="B42" s="267"/>
      <c r="D42" s="126"/>
      <c r="E42" s="127"/>
      <c r="F42" s="12"/>
      <c r="G42" s="102"/>
      <c r="I42" s="96" t="s">
        <v>14</v>
      </c>
      <c r="J42" s="75"/>
      <c r="K42" s="76" t="str">
        <f t="shared" si="0"/>
        <v/>
      </c>
      <c r="M42" s="247"/>
      <c r="O42" s="250"/>
      <c r="P42" s="251"/>
      <c r="S42" s="6" t="s">
        <v>23</v>
      </c>
      <c r="T42" s="20">
        <v>2.6388888888888889E-2</v>
      </c>
    </row>
    <row r="43" spans="2:23" x14ac:dyDescent="0.25">
      <c r="B43" s="267"/>
      <c r="D43" s="126"/>
      <c r="E43" s="127"/>
      <c r="F43" s="12"/>
      <c r="G43" s="102"/>
      <c r="I43" s="96" t="s">
        <v>15</v>
      </c>
      <c r="J43" s="75"/>
      <c r="K43" s="76" t="str">
        <f t="shared" si="0"/>
        <v/>
      </c>
      <c r="M43" s="247"/>
      <c r="O43" s="250"/>
      <c r="P43" s="251"/>
      <c r="S43" s="6" t="s">
        <v>24</v>
      </c>
      <c r="T43" s="20">
        <v>2.7083333333333334E-2</v>
      </c>
    </row>
    <row r="44" spans="2:23" ht="15" customHeight="1" x14ac:dyDescent="0.25">
      <c r="B44" s="267"/>
      <c r="D44" s="126"/>
      <c r="E44" s="127"/>
      <c r="F44" s="12"/>
      <c r="G44" s="102"/>
      <c r="I44" s="96" t="s">
        <v>16</v>
      </c>
      <c r="J44" s="75"/>
      <c r="K44" s="76" t="str">
        <f t="shared" si="0"/>
        <v/>
      </c>
      <c r="M44" s="247"/>
      <c r="O44" s="250"/>
      <c r="P44" s="251"/>
      <c r="S44" s="6"/>
      <c r="T44" s="20"/>
    </row>
    <row r="45" spans="2:23" x14ac:dyDescent="0.25">
      <c r="B45" s="267"/>
      <c r="D45" s="128"/>
      <c r="E45" s="129"/>
      <c r="F45" s="12"/>
      <c r="G45" s="103"/>
      <c r="I45" s="96" t="s">
        <v>17</v>
      </c>
      <c r="J45" s="269" t="str">
        <f>IF(ISBLANK(J40),"",3600/(AVERAGE(J40:J44)*(24*60)))</f>
        <v/>
      </c>
      <c r="K45" s="270"/>
      <c r="M45" s="192"/>
      <c r="O45" s="252"/>
      <c r="P45" s="253"/>
      <c r="S45" s="6"/>
      <c r="T45" s="20"/>
    </row>
    <row r="46" spans="2:23" x14ac:dyDescent="0.25">
      <c r="B46" s="267"/>
      <c r="G46" s="1"/>
      <c r="O46" s="81"/>
      <c r="P46" s="81"/>
    </row>
    <row r="47" spans="2:23" ht="15" customHeight="1" x14ac:dyDescent="0.25">
      <c r="B47" s="267"/>
      <c r="D47" s="130" t="str">
        <f>Matrix!D35</f>
        <v>REV</v>
      </c>
      <c r="E47" s="130"/>
      <c r="G47" s="271" t="str">
        <f>Matrix!G35</f>
        <v>Bonus or Penalty</v>
      </c>
      <c r="I47" s="193" t="s">
        <v>30</v>
      </c>
      <c r="J47" s="273"/>
      <c r="K47" s="274"/>
      <c r="M47" s="277">
        <f>IF(J47=W47,Matrix!M35,IF(J47=W51,Matrix!M36,IF(J47=W52,Matrix!M37,0)))</f>
        <v>0</v>
      </c>
      <c r="O47" s="248">
        <f>IF(M47=Matrix!M35,SUM(O13,O21,O28,O32,O40,O51,O59,O67)*0.25,IF(M47=Matrix!M36,Matrix!M36,IF(M47=Matrix!M37,Matrix!M37,0)))</f>
        <v>0</v>
      </c>
      <c r="P47" s="249"/>
      <c r="W47" s="6" t="s">
        <v>31</v>
      </c>
    </row>
    <row r="48" spans="2:23" x14ac:dyDescent="0.25">
      <c r="B48" s="267"/>
      <c r="D48" s="130"/>
      <c r="E48" s="130"/>
      <c r="G48" s="272"/>
      <c r="I48" s="193"/>
      <c r="J48" s="275"/>
      <c r="K48" s="276"/>
      <c r="M48" s="278"/>
      <c r="O48" s="252"/>
      <c r="P48" s="253"/>
      <c r="W48" s="6" t="s">
        <v>32</v>
      </c>
    </row>
    <row r="49" spans="2:25" x14ac:dyDescent="0.25">
      <c r="B49" s="10"/>
      <c r="G49" s="1"/>
      <c r="O49" s="81"/>
      <c r="P49" s="81"/>
      <c r="W49" s="6" t="s">
        <v>33</v>
      </c>
    </row>
    <row r="50" spans="2:25" x14ac:dyDescent="0.25">
      <c r="B50" s="10"/>
      <c r="G50" s="1"/>
      <c r="I50" s="17"/>
      <c r="J50" s="96" t="s">
        <v>34</v>
      </c>
      <c r="K50" s="96" t="s">
        <v>35</v>
      </c>
      <c r="O50" s="81"/>
      <c r="P50" s="81"/>
      <c r="W50" s="6" t="s">
        <v>36</v>
      </c>
    </row>
    <row r="51" spans="2:25" ht="15" customHeight="1" x14ac:dyDescent="0.25">
      <c r="B51" s="259" t="s">
        <v>37</v>
      </c>
      <c r="D51" s="140" t="str">
        <f>Matrix!D39</f>
        <v>Sales Vs Budget with Bonus</v>
      </c>
      <c r="E51" s="141"/>
      <c r="G51" s="101">
        <f>Matrix!G39</f>
        <v>0.25</v>
      </c>
      <c r="I51" s="96" t="s">
        <v>12</v>
      </c>
      <c r="J51" s="260"/>
      <c r="K51" s="21"/>
      <c r="M51" s="263">
        <f>IF(J56="",0,IF(J56&gt;=Benchmarks!K4,Matrix!M39,IF(J56&gt;Benchmarks!K5,Matrix!M40,IF(J56=Benchmarks!K6,Matrix!M41,Matrix!M42))))</f>
        <v>0</v>
      </c>
      <c r="O51" s="248">
        <f>M51*$G$51</f>
        <v>0</v>
      </c>
      <c r="P51" s="249"/>
      <c r="S51" s="16">
        <f>J51/T6</f>
        <v>0</v>
      </c>
      <c r="T51" s="16">
        <f>K51</f>
        <v>0</v>
      </c>
      <c r="U51" s="22" t="e">
        <f>(T51-S51)/S51</f>
        <v>#DIV/0!</v>
      </c>
      <c r="W51" s="6" t="s">
        <v>38</v>
      </c>
    </row>
    <row r="52" spans="2:25" x14ac:dyDescent="0.25">
      <c r="B52" s="259"/>
      <c r="D52" s="142"/>
      <c r="E52" s="143"/>
      <c r="G52" s="102"/>
      <c r="I52" s="96" t="s">
        <v>13</v>
      </c>
      <c r="J52" s="261"/>
      <c r="K52" s="21"/>
      <c r="M52" s="264"/>
      <c r="O52" s="250"/>
      <c r="P52" s="251"/>
      <c r="S52" s="16">
        <f>S51*2</f>
        <v>0</v>
      </c>
      <c r="T52" s="16">
        <f>SUM(K51:K52)</f>
        <v>0</v>
      </c>
      <c r="U52" s="22" t="e">
        <f t="shared" ref="U52:U55" si="1">(T52-S52)/S52</f>
        <v>#DIV/0!</v>
      </c>
      <c r="W52" s="6" t="s">
        <v>39</v>
      </c>
    </row>
    <row r="53" spans="2:25" x14ac:dyDescent="0.25">
      <c r="B53" s="259"/>
      <c r="D53" s="142"/>
      <c r="E53" s="143"/>
      <c r="G53" s="102"/>
      <c r="I53" s="96" t="s">
        <v>14</v>
      </c>
      <c r="J53" s="261"/>
      <c r="K53" s="21"/>
      <c r="M53" s="264"/>
      <c r="O53" s="250"/>
      <c r="P53" s="251"/>
      <c r="S53" s="16">
        <f>S51*3</f>
        <v>0</v>
      </c>
      <c r="T53" s="16">
        <f>SUM(K51:K53)</f>
        <v>0</v>
      </c>
      <c r="U53" s="22" t="e">
        <f t="shared" si="1"/>
        <v>#DIV/0!</v>
      </c>
    </row>
    <row r="54" spans="2:25" x14ac:dyDescent="0.25">
      <c r="B54" s="259"/>
      <c r="D54" s="142"/>
      <c r="E54" s="143"/>
      <c r="G54" s="102"/>
      <c r="I54" s="96" t="s">
        <v>15</v>
      </c>
      <c r="J54" s="261"/>
      <c r="K54" s="21"/>
      <c r="M54" s="264"/>
      <c r="O54" s="250"/>
      <c r="P54" s="251"/>
      <c r="S54" s="16">
        <f>S51*4</f>
        <v>0</v>
      </c>
      <c r="T54" s="16">
        <f>SUM(K51:K54)</f>
        <v>0</v>
      </c>
      <c r="U54" s="22" t="e">
        <f t="shared" si="1"/>
        <v>#DIV/0!</v>
      </c>
    </row>
    <row r="55" spans="2:25" x14ac:dyDescent="0.25">
      <c r="B55" s="259"/>
      <c r="D55" s="142"/>
      <c r="E55" s="143"/>
      <c r="G55" s="102"/>
      <c r="I55" s="96" t="s">
        <v>16</v>
      </c>
      <c r="J55" s="262"/>
      <c r="K55" s="21"/>
      <c r="M55" s="264"/>
      <c r="O55" s="250"/>
      <c r="P55" s="251"/>
      <c r="S55" s="16">
        <f>S51*5</f>
        <v>0</v>
      </c>
      <c r="T55" s="16">
        <f>SUM(K51:K55)</f>
        <v>0</v>
      </c>
      <c r="U55" s="22" t="e">
        <f t="shared" si="1"/>
        <v>#DIV/0!</v>
      </c>
    </row>
    <row r="56" spans="2:25" x14ac:dyDescent="0.25">
      <c r="B56" s="259"/>
      <c r="D56" s="144"/>
      <c r="E56" s="145"/>
      <c r="G56" s="103"/>
      <c r="I56" s="96" t="s">
        <v>17</v>
      </c>
      <c r="J56" s="266" t="str">
        <f>IF(ISBLANK(K51),"",IF(ISBLANK(K52),U51,IF(ISBLANK(K53),U52,IF(ISBLANK(K54),U53,IF(ISBLANK(K55),U54,U55)))))</f>
        <v/>
      </c>
      <c r="K56" s="266"/>
      <c r="M56" s="265"/>
      <c r="O56" s="252"/>
      <c r="P56" s="253"/>
    </row>
    <row r="57" spans="2:25" x14ac:dyDescent="0.25">
      <c r="B57" s="23"/>
      <c r="C57" s="1"/>
      <c r="D57" s="24"/>
      <c r="E57" s="24"/>
      <c r="G57" s="25"/>
      <c r="I57" s="26"/>
      <c r="J57" s="26"/>
      <c r="K57" s="26"/>
      <c r="M57" s="27"/>
      <c r="O57" s="82"/>
      <c r="P57" s="82"/>
    </row>
    <row r="58" spans="2:25" x14ac:dyDescent="0.25">
      <c r="B58" s="23"/>
      <c r="C58" s="1"/>
      <c r="D58" s="24"/>
      <c r="E58" s="24"/>
      <c r="G58" s="25"/>
      <c r="I58" s="17"/>
      <c r="J58" s="96" t="s">
        <v>34</v>
      </c>
      <c r="K58" s="96" t="s">
        <v>40</v>
      </c>
      <c r="M58" s="27"/>
      <c r="O58" s="82"/>
      <c r="P58" s="82"/>
      <c r="T58" s="6" t="s">
        <v>41</v>
      </c>
      <c r="U58" s="2">
        <f>IF(ISBLANK(K52),1,IF(ISBLANK(K53),2,IF(ISBLANK(K54),3,IF(ISBLANK(K55),4,5))))</f>
        <v>1</v>
      </c>
    </row>
    <row r="59" spans="2:25" ht="15" customHeight="1" x14ac:dyDescent="0.25">
      <c r="B59" s="162" t="s">
        <v>42</v>
      </c>
      <c r="D59" s="163" t="str">
        <f>Matrix!D44</f>
        <v>Waste % Vs Budget</v>
      </c>
      <c r="E59" s="164"/>
      <c r="G59" s="101">
        <f>Matrix!G44</f>
        <v>0.1</v>
      </c>
      <c r="I59" s="96" t="s">
        <v>12</v>
      </c>
      <c r="J59" s="286"/>
      <c r="K59" s="95"/>
      <c r="M59" s="279">
        <f>IF(J64="",0,IF(J64&lt;J59,Matrix!M44,IF(Jun!J64=J59,Matrix!M45,Matrix!M46)))</f>
        <v>0</v>
      </c>
      <c r="O59" s="248">
        <f>M59*$G$59</f>
        <v>0</v>
      </c>
      <c r="P59" s="249"/>
      <c r="S59" s="30">
        <f>IFERROR(K59*K51,0)</f>
        <v>0</v>
      </c>
      <c r="T59" s="6" t="s">
        <v>43</v>
      </c>
      <c r="U59" s="31">
        <f>SUM(J59:J63)/U58</f>
        <v>0</v>
      </c>
      <c r="W59" s="6" t="s">
        <v>44</v>
      </c>
      <c r="X59" s="22">
        <v>7.0000000000000001E-3</v>
      </c>
      <c r="Y59" s="2" t="e">
        <f>IF($T$64&lt;=X59,100,IF($T$64&lt;=(X59+0.05%),75,IF($T$64&lt;=(X59+0.1%),50,IF($T$64&lt;=(X59+0.15%),25,0))))</f>
        <v>#DIV/0!</v>
      </c>
    </row>
    <row r="60" spans="2:25" ht="15" customHeight="1" x14ac:dyDescent="0.25">
      <c r="B60" s="162"/>
      <c r="D60" s="165"/>
      <c r="E60" s="166"/>
      <c r="G60" s="102"/>
      <c r="I60" s="96" t="s">
        <v>13</v>
      </c>
      <c r="J60" s="287"/>
      <c r="K60" s="95"/>
      <c r="M60" s="280"/>
      <c r="O60" s="250"/>
      <c r="P60" s="251"/>
      <c r="S60" s="30">
        <f t="shared" ref="S60:S63" si="2">IFERROR(K60*K52,0)</f>
        <v>0</v>
      </c>
      <c r="T60" s="6" t="s">
        <v>45</v>
      </c>
      <c r="U60" s="32" t="str">
        <f>IF(U59&gt;100000,"Ultra",IF(U59&gt;80000,"High",IF(U59&gt;60000,"Medium","Low")))</f>
        <v>Low</v>
      </c>
      <c r="W60" s="6" t="s">
        <v>46</v>
      </c>
      <c r="X60" s="22">
        <v>8.9999999999999993E-3</v>
      </c>
      <c r="Y60" s="2" t="e">
        <f>IF($T$64&lt;=X60,100,IF($T$64&lt;=(X60+0.05%),75,IF($T$64&lt;=(X60+0.1%),50,IF($T$64&lt;=(X60+0.15%),25,0))))</f>
        <v>#DIV/0!</v>
      </c>
    </row>
    <row r="61" spans="2:25" ht="15" customHeight="1" x14ac:dyDescent="0.25">
      <c r="B61" s="162"/>
      <c r="D61" s="165"/>
      <c r="E61" s="166"/>
      <c r="G61" s="102"/>
      <c r="I61" s="96" t="s">
        <v>14</v>
      </c>
      <c r="J61" s="287"/>
      <c r="K61" s="95"/>
      <c r="M61" s="280"/>
      <c r="O61" s="250"/>
      <c r="P61" s="251"/>
      <c r="S61" s="30">
        <f t="shared" si="2"/>
        <v>0</v>
      </c>
      <c r="U61" s="32"/>
      <c r="W61" s="6" t="s">
        <v>47</v>
      </c>
      <c r="X61" s="22">
        <v>1.0999999999999999E-2</v>
      </c>
      <c r="Y61" s="2" t="e">
        <f>IF($T$64&lt;=X61,100,IF($T$64&lt;=(X61+0.05%),75,IF($T$64&lt;=(X61+0.1%),50,IF($T$64&lt;=(X61+0.15%),25,0))))</f>
        <v>#DIV/0!</v>
      </c>
    </row>
    <row r="62" spans="2:25" x14ac:dyDescent="0.25">
      <c r="B62" s="162"/>
      <c r="D62" s="165"/>
      <c r="E62" s="166"/>
      <c r="G62" s="102"/>
      <c r="I62" s="96" t="s">
        <v>15</v>
      </c>
      <c r="J62" s="287"/>
      <c r="K62" s="95"/>
      <c r="M62" s="280"/>
      <c r="O62" s="250"/>
      <c r="P62" s="251"/>
      <c r="S62" s="30">
        <f t="shared" si="2"/>
        <v>0</v>
      </c>
      <c r="U62" s="32"/>
      <c r="W62" s="6" t="s">
        <v>48</v>
      </c>
      <c r="X62" s="22">
        <v>1.2999999999999999E-2</v>
      </c>
      <c r="Y62" s="2" t="e">
        <f>IF($T$64&lt;=X62,100,IF($T$64&lt;=(X62+0.05%),75,IF($T$64&lt;=(X62+0.1%),50,IF($T$64&lt;=(X62+0.15%),25,0))))</f>
        <v>#DIV/0!</v>
      </c>
    </row>
    <row r="63" spans="2:25" x14ac:dyDescent="0.25">
      <c r="B63" s="162"/>
      <c r="D63" s="165"/>
      <c r="E63" s="166"/>
      <c r="G63" s="102"/>
      <c r="I63" s="96" t="s">
        <v>16</v>
      </c>
      <c r="J63" s="288"/>
      <c r="K63" s="95"/>
      <c r="M63" s="280"/>
      <c r="O63" s="250"/>
      <c r="P63" s="251"/>
      <c r="S63" s="30">
        <f t="shared" si="2"/>
        <v>0</v>
      </c>
      <c r="U63" s="32"/>
      <c r="W63" s="6"/>
      <c r="X63" s="22"/>
    </row>
    <row r="64" spans="2:25" x14ac:dyDescent="0.25">
      <c r="B64" s="162"/>
      <c r="D64" s="167"/>
      <c r="E64" s="168"/>
      <c r="G64" s="103"/>
      <c r="I64" s="96" t="s">
        <v>17</v>
      </c>
      <c r="J64" s="236" t="str">
        <f>IFERROR(T64,"")</f>
        <v/>
      </c>
      <c r="K64" s="237"/>
      <c r="M64" s="281"/>
      <c r="O64" s="252"/>
      <c r="P64" s="253"/>
      <c r="S64" s="30">
        <f>SUM(S59:S63)</f>
        <v>0</v>
      </c>
      <c r="T64" s="22" t="e">
        <f>S64/T55</f>
        <v>#DIV/0!</v>
      </c>
      <c r="U64" s="32"/>
    </row>
    <row r="65" spans="2:22" x14ac:dyDescent="0.25">
      <c r="B65" s="162"/>
      <c r="G65" s="1"/>
      <c r="O65" s="1"/>
      <c r="P65" s="1"/>
    </row>
    <row r="66" spans="2:22" x14ac:dyDescent="0.25">
      <c r="B66" s="162"/>
      <c r="G66" s="1"/>
      <c r="I66" s="17"/>
      <c r="J66" s="284" t="s">
        <v>7</v>
      </c>
      <c r="K66" s="284"/>
      <c r="O66" s="1"/>
      <c r="P66" s="1"/>
    </row>
    <row r="67" spans="2:22" ht="15" customHeight="1" x14ac:dyDescent="0.25">
      <c r="B67" s="162"/>
      <c r="D67" s="148" t="str">
        <f>Matrix!D48</f>
        <v>Total Labour Vs Budget</v>
      </c>
      <c r="E67" s="148"/>
      <c r="G67" s="256">
        <f>Matrix!G48</f>
        <v>0.15</v>
      </c>
      <c r="I67" s="96" t="s">
        <v>12</v>
      </c>
      <c r="J67" s="285"/>
      <c r="K67" s="285"/>
      <c r="M67" s="282">
        <f>IFERROR(IF(J72="",0,IF(U73&lt;=J75,Matrix!M48,IF(U73&lt;=J74,Matrix!M49,Matrix!M50))),0)</f>
        <v>0</v>
      </c>
      <c r="O67" s="283">
        <f>M67*$G$67</f>
        <v>0</v>
      </c>
      <c r="P67" s="283"/>
      <c r="S67" s="16">
        <f>J59</f>
        <v>0</v>
      </c>
      <c r="T67" s="16">
        <f>J67*J59</f>
        <v>0</v>
      </c>
      <c r="U67" s="22" t="str">
        <f>IFERROR(T67/S67,"")</f>
        <v/>
      </c>
      <c r="V67" s="22" t="e">
        <f>U67-$J$74</f>
        <v>#VALUE!</v>
      </c>
    </row>
    <row r="68" spans="2:22" ht="15" customHeight="1" x14ac:dyDescent="0.25">
      <c r="B68" s="162"/>
      <c r="D68" s="148"/>
      <c r="E68" s="148"/>
      <c r="G68" s="256"/>
      <c r="I68" s="96" t="s">
        <v>13</v>
      </c>
      <c r="J68" s="285"/>
      <c r="K68" s="285"/>
      <c r="M68" s="282"/>
      <c r="O68" s="283"/>
      <c r="P68" s="283"/>
      <c r="S68" s="16">
        <f>SUM(J59:J60)</f>
        <v>0</v>
      </c>
      <c r="T68" s="79">
        <f>J68*J60</f>
        <v>0</v>
      </c>
      <c r="U68" s="22" t="str">
        <f>IFERROR(SUM(T67:T68)/S68,"")</f>
        <v/>
      </c>
      <c r="V68" s="22" t="e">
        <f>U68-$J$74</f>
        <v>#VALUE!</v>
      </c>
    </row>
    <row r="69" spans="2:22" ht="15" customHeight="1" x14ac:dyDescent="0.25">
      <c r="B69" s="162"/>
      <c r="D69" s="148"/>
      <c r="E69" s="148"/>
      <c r="G69" s="256"/>
      <c r="I69" s="96" t="s">
        <v>14</v>
      </c>
      <c r="J69" s="285"/>
      <c r="K69" s="285"/>
      <c r="M69" s="282"/>
      <c r="O69" s="283"/>
      <c r="P69" s="283"/>
      <c r="S69" s="16">
        <f>SUM(J59:J61)</f>
        <v>0</v>
      </c>
      <c r="T69" s="79">
        <f>J69*J61</f>
        <v>0</v>
      </c>
      <c r="U69" s="22" t="str">
        <f>IFERROR(SUM(T67:T69)/S69,"")</f>
        <v/>
      </c>
      <c r="V69" s="22" t="e">
        <f>U69-$J$74</f>
        <v>#VALUE!</v>
      </c>
    </row>
    <row r="70" spans="2:22" x14ac:dyDescent="0.25">
      <c r="B70" s="162"/>
      <c r="D70" s="148"/>
      <c r="E70" s="148"/>
      <c r="G70" s="256"/>
      <c r="I70" s="96" t="s">
        <v>15</v>
      </c>
      <c r="J70" s="285"/>
      <c r="K70" s="285"/>
      <c r="M70" s="282"/>
      <c r="O70" s="283"/>
      <c r="P70" s="283"/>
      <c r="S70" s="16">
        <f>SUM(J59:J62)</f>
        <v>0</v>
      </c>
      <c r="T70" s="79">
        <f>J70*J62</f>
        <v>0</v>
      </c>
      <c r="U70" s="22" t="str">
        <f>IFERROR(SUM(T67:T70)/S70,"")</f>
        <v/>
      </c>
      <c r="V70" s="22" t="e">
        <f>U70-$J$74</f>
        <v>#VALUE!</v>
      </c>
    </row>
    <row r="71" spans="2:22" x14ac:dyDescent="0.25">
      <c r="B71" s="162"/>
      <c r="D71" s="148"/>
      <c r="E71" s="148"/>
      <c r="G71" s="256"/>
      <c r="I71" s="96" t="s">
        <v>16</v>
      </c>
      <c r="J71" s="285"/>
      <c r="K71" s="285"/>
      <c r="M71" s="282"/>
      <c r="O71" s="283"/>
      <c r="P71" s="283"/>
      <c r="S71" s="16">
        <f>SUM(J59:J63)</f>
        <v>0</v>
      </c>
      <c r="T71" s="79">
        <f>J71*J63</f>
        <v>0</v>
      </c>
      <c r="U71" s="22" t="str">
        <f>IFERROR(SUM(T67:T71)/S71,"")</f>
        <v/>
      </c>
      <c r="V71" s="22" t="e">
        <f>U71-$J$74</f>
        <v>#VALUE!</v>
      </c>
    </row>
    <row r="72" spans="2:22" x14ac:dyDescent="0.25">
      <c r="B72" s="162"/>
      <c r="D72" s="148"/>
      <c r="E72" s="148"/>
      <c r="G72" s="256"/>
      <c r="I72" s="96" t="s">
        <v>17</v>
      </c>
      <c r="J72" s="266" t="str">
        <f>IFERROR(IF(ISBLANK(J67),"",IF(ISBLANK(J68),V67,IF(ISBLANK(J69),V68,IF(ISBLANK(J70),V69,IF(ISBLANK(J71),V70,V71))))),"Enter Sales")</f>
        <v/>
      </c>
      <c r="K72" s="266"/>
      <c r="M72" s="282"/>
      <c r="O72" s="283"/>
      <c r="P72" s="283"/>
    </row>
    <row r="73" spans="2:22" x14ac:dyDescent="0.25">
      <c r="B73" s="162"/>
      <c r="D73" s="148"/>
      <c r="E73" s="148"/>
      <c r="G73" s="256"/>
      <c r="I73" s="78"/>
      <c r="J73" s="77"/>
      <c r="K73" s="77"/>
      <c r="M73" s="282"/>
      <c r="O73" s="283"/>
      <c r="P73" s="283"/>
      <c r="U73" s="80" t="e">
        <f>LOOKUP(2,1/(U67:U71 &lt;&gt; ""),U67:U71)</f>
        <v>#N/A</v>
      </c>
    </row>
    <row r="74" spans="2:22" x14ac:dyDescent="0.25">
      <c r="B74" s="162"/>
      <c r="D74" s="148"/>
      <c r="E74" s="148"/>
      <c r="G74" s="256"/>
      <c r="I74" s="96" t="s">
        <v>34</v>
      </c>
      <c r="J74" s="289"/>
      <c r="K74" s="289"/>
      <c r="M74" s="282"/>
      <c r="O74" s="283"/>
      <c r="P74" s="283"/>
    </row>
    <row r="75" spans="2:22" x14ac:dyDescent="0.25">
      <c r="B75" s="162"/>
      <c r="D75" s="148"/>
      <c r="E75" s="148"/>
      <c r="G75" s="256"/>
      <c r="I75" s="96" t="s">
        <v>117</v>
      </c>
      <c r="J75" s="289"/>
      <c r="K75" s="289"/>
      <c r="M75" s="282"/>
      <c r="O75" s="283"/>
      <c r="P75" s="283"/>
    </row>
    <row r="76" spans="2:22" x14ac:dyDescent="0.25">
      <c r="B76" s="162"/>
      <c r="G76" s="1"/>
    </row>
    <row r="77" spans="2:22" ht="15" customHeight="1" x14ac:dyDescent="0.25">
      <c r="B77" s="162"/>
      <c r="C77" s="1"/>
      <c r="D77" s="148" t="str">
        <f>Matrix!D52</f>
        <v>EBITDA Vs Budget</v>
      </c>
      <c r="E77" s="148"/>
      <c r="G77" s="300" t="s">
        <v>52</v>
      </c>
      <c r="H77" s="33"/>
      <c r="I77" s="33"/>
      <c r="J77" s="96" t="s">
        <v>34</v>
      </c>
      <c r="K77" s="96" t="s">
        <v>7</v>
      </c>
      <c r="L77" s="33"/>
      <c r="M77" s="303" t="str">
        <f>IF(J80="","",IF(J80&gt;0,"Qualified","Not Qualified"))</f>
        <v/>
      </c>
      <c r="N77" s="34"/>
      <c r="O77" s="306" t="str">
        <f>M77</f>
        <v/>
      </c>
      <c r="P77" s="307"/>
    </row>
    <row r="78" spans="2:22" ht="15" customHeight="1" x14ac:dyDescent="0.25">
      <c r="B78" s="162"/>
      <c r="C78" s="1"/>
      <c r="D78" s="148"/>
      <c r="E78" s="148"/>
      <c r="G78" s="301"/>
      <c r="H78" s="33"/>
      <c r="I78" s="312" t="s">
        <v>53</v>
      </c>
      <c r="J78" s="314"/>
      <c r="K78" s="314"/>
      <c r="L78" s="33"/>
      <c r="M78" s="304"/>
      <c r="N78" s="34"/>
      <c r="O78" s="308"/>
      <c r="P78" s="309"/>
    </row>
    <row r="79" spans="2:22" ht="15" customHeight="1" x14ac:dyDescent="0.25">
      <c r="B79" s="162"/>
      <c r="C79" s="1"/>
      <c r="D79" s="148"/>
      <c r="E79" s="148"/>
      <c r="G79" s="301"/>
      <c r="H79" s="33"/>
      <c r="I79" s="313"/>
      <c r="J79" s="315"/>
      <c r="K79" s="315"/>
      <c r="L79" s="33"/>
      <c r="M79" s="304"/>
      <c r="N79" s="34"/>
      <c r="O79" s="308"/>
      <c r="P79" s="309"/>
    </row>
    <row r="80" spans="2:22" ht="15" customHeight="1" x14ac:dyDescent="0.25">
      <c r="B80" s="162"/>
      <c r="C80" s="1"/>
      <c r="D80" s="148"/>
      <c r="E80" s="148"/>
      <c r="G80" s="302"/>
      <c r="H80" s="33"/>
      <c r="I80" s="96" t="s">
        <v>17</v>
      </c>
      <c r="J80" s="266" t="str">
        <f>IF(ISBLANK(K78),"",(K78-J78)/ABS(J78))</f>
        <v/>
      </c>
      <c r="K80" s="266"/>
      <c r="L80" s="33"/>
      <c r="M80" s="305"/>
      <c r="N80" s="34"/>
      <c r="O80" s="310"/>
      <c r="P80" s="311"/>
    </row>
    <row r="81" spans="2:19" x14ac:dyDescent="0.25">
      <c r="B81" s="10"/>
    </row>
    <row r="82" spans="2:19" ht="15" customHeight="1" x14ac:dyDescent="0.25">
      <c r="B82" s="290" t="s">
        <v>17</v>
      </c>
      <c r="D82" s="291">
        <f>IF(J47=W52,"DNQ",SUM(O13,O21,O28,O32,O40,O47,O51,O59,O67))</f>
        <v>0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3"/>
      <c r="S82" s="35"/>
    </row>
    <row r="83" spans="2:19" ht="15" customHeight="1" x14ac:dyDescent="0.25">
      <c r="B83" s="290"/>
      <c r="D83" s="294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</row>
    <row r="84" spans="2:19" ht="15" customHeight="1" x14ac:dyDescent="0.25">
      <c r="B84" s="290"/>
      <c r="D84" s="294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</row>
    <row r="85" spans="2:19" ht="15" customHeight="1" x14ac:dyDescent="0.25">
      <c r="B85" s="290"/>
      <c r="D85" s="294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</row>
    <row r="86" spans="2:19" ht="15" customHeight="1" x14ac:dyDescent="0.25">
      <c r="B86" s="290"/>
      <c r="D86" s="297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9"/>
    </row>
  </sheetData>
  <protectedRanges>
    <protectedRange algorithmName="SHA-512" hashValue="G6JyaAjnLJ7DUIOk3EPCmAWcnqNxc1WKJrbLMh2qeAMHxFdhkm2xQb3liwDbL6JweVOcpIBI6rKnwNTSyzCg4Q==" saltValue="fGPxF01wqgBH2YGBTtEdtg==" spinCount="100000" sqref="J32:J36 J51:J55 J59:J63 J40:J44 J67:J71" name="Formulas"/>
    <protectedRange algorithmName="SHA-512" hashValue="G6JyaAjnLJ7DUIOk3EPCmAWcnqNxc1WKJrbLMh2qeAMHxFdhkm2xQb3liwDbL6JweVOcpIBI6rKnwNTSyzCg4Q==" saltValue="fGPxF01wqgBH2YGBTtEdtg==" spinCount="100000" sqref="J37 J56 J45 J64 J72:J73 J80" name="Formulas_1"/>
  </protectedRanges>
  <mergeCells count="87">
    <mergeCell ref="B82:B86"/>
    <mergeCell ref="D82:P86"/>
    <mergeCell ref="D77:E80"/>
    <mergeCell ref="G77:G80"/>
    <mergeCell ref="M77:M80"/>
    <mergeCell ref="O77:P80"/>
    <mergeCell ref="I78:I79"/>
    <mergeCell ref="J78:J79"/>
    <mergeCell ref="K78:K79"/>
    <mergeCell ref="J80:K80"/>
    <mergeCell ref="J67:K67"/>
    <mergeCell ref="M67:M75"/>
    <mergeCell ref="O67:P75"/>
    <mergeCell ref="J68:K68"/>
    <mergeCell ref="J69:K69"/>
    <mergeCell ref="J70:K70"/>
    <mergeCell ref="J71:K71"/>
    <mergeCell ref="J72:K72"/>
    <mergeCell ref="J74:K74"/>
    <mergeCell ref="J75:K75"/>
    <mergeCell ref="B59:B80"/>
    <mergeCell ref="D59:E64"/>
    <mergeCell ref="G59:G64"/>
    <mergeCell ref="J59:J63"/>
    <mergeCell ref="M59:M64"/>
    <mergeCell ref="O59:P64"/>
    <mergeCell ref="J64:K64"/>
    <mergeCell ref="J66:K66"/>
    <mergeCell ref="D67:E75"/>
    <mergeCell ref="G67:G75"/>
    <mergeCell ref="O47:P48"/>
    <mergeCell ref="B51:B56"/>
    <mergeCell ref="D51:E56"/>
    <mergeCell ref="G51:G56"/>
    <mergeCell ref="J51:J55"/>
    <mergeCell ref="M51:M56"/>
    <mergeCell ref="O51:P56"/>
    <mergeCell ref="J56:K56"/>
    <mergeCell ref="J45:K45"/>
    <mergeCell ref="D47:E48"/>
    <mergeCell ref="G47:G48"/>
    <mergeCell ref="I47:I48"/>
    <mergeCell ref="J47:K48"/>
    <mergeCell ref="M47:M48"/>
    <mergeCell ref="B32:B48"/>
    <mergeCell ref="D32:E37"/>
    <mergeCell ref="G32:G37"/>
    <mergeCell ref="M32:M37"/>
    <mergeCell ref="O32:P37"/>
    <mergeCell ref="J37:K37"/>
    <mergeCell ref="D40:E45"/>
    <mergeCell ref="G40:G45"/>
    <mergeCell ref="M40:M45"/>
    <mergeCell ref="O40:P45"/>
    <mergeCell ref="M21:M26"/>
    <mergeCell ref="O21:P26"/>
    <mergeCell ref="J26:K26"/>
    <mergeCell ref="D28:E29"/>
    <mergeCell ref="G28:G29"/>
    <mergeCell ref="I28:I29"/>
    <mergeCell ref="J28:K29"/>
    <mergeCell ref="M28:M29"/>
    <mergeCell ref="O28:P29"/>
    <mergeCell ref="J14:K14"/>
    <mergeCell ref="J15:K15"/>
    <mergeCell ref="J16:K16"/>
    <mergeCell ref="J17:K17"/>
    <mergeCell ref="J18:K18"/>
    <mergeCell ref="D21:E26"/>
    <mergeCell ref="G21:G26"/>
    <mergeCell ref="J21:J25"/>
    <mergeCell ref="D10:E10"/>
    <mergeCell ref="I10:K10"/>
    <mergeCell ref="O10:P10"/>
    <mergeCell ref="J12:K12"/>
    <mergeCell ref="B13:B29"/>
    <mergeCell ref="D13:E18"/>
    <mergeCell ref="G13:G18"/>
    <mergeCell ref="J13:K13"/>
    <mergeCell ref="M13:M18"/>
    <mergeCell ref="O13:P18"/>
    <mergeCell ref="D3:P4"/>
    <mergeCell ref="D6:E6"/>
    <mergeCell ref="G6:P6"/>
    <mergeCell ref="D8:E8"/>
    <mergeCell ref="G8:K8"/>
    <mergeCell ref="O8:P8"/>
  </mergeCells>
  <conditionalFormatting sqref="I13:I18">
    <cfRule type="duplicateValues" dxfId="22" priority="22"/>
  </conditionalFormatting>
  <conditionalFormatting sqref="J12">
    <cfRule type="duplicateValues" dxfId="21" priority="21"/>
  </conditionalFormatting>
  <conditionalFormatting sqref="I21:I26">
    <cfRule type="duplicateValues" dxfId="20" priority="20"/>
  </conditionalFormatting>
  <conditionalFormatting sqref="I32:I35">
    <cfRule type="duplicateValues" dxfId="19" priority="19"/>
  </conditionalFormatting>
  <conditionalFormatting sqref="I37">
    <cfRule type="duplicateValues" dxfId="18" priority="18"/>
  </conditionalFormatting>
  <conditionalFormatting sqref="I51:I55">
    <cfRule type="duplicateValues" dxfId="17" priority="17"/>
  </conditionalFormatting>
  <conditionalFormatting sqref="I56">
    <cfRule type="duplicateValues" dxfId="16" priority="16"/>
  </conditionalFormatting>
  <conditionalFormatting sqref="J20">
    <cfRule type="duplicateValues" dxfId="15" priority="15"/>
  </conditionalFormatting>
  <conditionalFormatting sqref="K20">
    <cfRule type="duplicateValues" dxfId="14" priority="14"/>
  </conditionalFormatting>
  <conditionalFormatting sqref="I40:I43">
    <cfRule type="duplicateValues" dxfId="13" priority="13"/>
  </conditionalFormatting>
  <conditionalFormatting sqref="I45">
    <cfRule type="duplicateValues" dxfId="12" priority="12"/>
  </conditionalFormatting>
  <conditionalFormatting sqref="I47">
    <cfRule type="duplicateValues" dxfId="11" priority="11"/>
  </conditionalFormatting>
  <conditionalFormatting sqref="I59:I62">
    <cfRule type="duplicateValues" dxfId="10" priority="10"/>
  </conditionalFormatting>
  <conditionalFormatting sqref="I64">
    <cfRule type="duplicateValues" dxfId="9" priority="9"/>
  </conditionalFormatting>
  <conditionalFormatting sqref="I67:I71">
    <cfRule type="duplicateValues" dxfId="8" priority="8"/>
  </conditionalFormatting>
  <conditionalFormatting sqref="I72:I73">
    <cfRule type="duplicateValues" dxfId="7" priority="7"/>
  </conditionalFormatting>
  <conditionalFormatting sqref="I78">
    <cfRule type="duplicateValues" dxfId="6" priority="6"/>
  </conditionalFormatting>
  <conditionalFormatting sqref="I80">
    <cfRule type="duplicateValues" dxfId="5" priority="5"/>
  </conditionalFormatting>
  <conditionalFormatting sqref="I36">
    <cfRule type="duplicateValues" dxfId="4" priority="4"/>
  </conditionalFormatting>
  <conditionalFormatting sqref="I44">
    <cfRule type="duplicateValues" dxfId="3" priority="3"/>
  </conditionalFormatting>
  <conditionalFormatting sqref="I63">
    <cfRule type="duplicateValues" dxfId="2" priority="2"/>
  </conditionalFormatting>
  <conditionalFormatting sqref="I28">
    <cfRule type="duplicateValues" dxfId="1" priority="1"/>
  </conditionalFormatting>
  <dataValidations disablePrompts="1" count="1">
    <dataValidation type="list" allowBlank="1" showInputMessage="1" showErrorMessage="1" sqref="J47:K48">
      <formula1>$W$47:$W$52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'AHR Benchmarks'!$A$2:$A$10</xm:f>
          </x14:formula1>
          <xm:sqref>O8:P8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E13" sqref="E13"/>
    </sheetView>
  </sheetViews>
  <sheetFormatPr defaultRowHeight="15.75" x14ac:dyDescent="0.25"/>
  <cols>
    <col min="1" max="1" width="16" style="37" customWidth="1"/>
    <col min="2" max="16384" width="9.140625" style="37"/>
  </cols>
  <sheetData>
    <row r="1" spans="1:5" x14ac:dyDescent="0.25">
      <c r="A1" s="36" t="s">
        <v>54</v>
      </c>
      <c r="B1" s="36" t="s">
        <v>55</v>
      </c>
      <c r="C1" s="36" t="s">
        <v>56</v>
      </c>
      <c r="D1" s="36" t="s">
        <v>57</v>
      </c>
      <c r="E1" s="36" t="s">
        <v>58</v>
      </c>
    </row>
    <row r="2" spans="1:5" x14ac:dyDescent="0.25">
      <c r="A2" s="38">
        <v>10000</v>
      </c>
      <c r="B2" s="36">
        <v>15</v>
      </c>
      <c r="C2" s="36">
        <v>16</v>
      </c>
      <c r="D2" s="36">
        <v>17</v>
      </c>
      <c r="E2" s="36">
        <v>18</v>
      </c>
    </row>
    <row r="3" spans="1:5" x14ac:dyDescent="0.25">
      <c r="A3" s="38">
        <v>15000</v>
      </c>
      <c r="B3" s="36">
        <v>15</v>
      </c>
      <c r="C3" s="36">
        <v>16</v>
      </c>
      <c r="D3" s="36">
        <v>17</v>
      </c>
      <c r="E3" s="36">
        <v>18</v>
      </c>
    </row>
    <row r="4" spans="1:5" x14ac:dyDescent="0.25">
      <c r="A4" s="38">
        <v>20000</v>
      </c>
      <c r="B4" s="36">
        <v>15</v>
      </c>
      <c r="C4" s="36">
        <v>16</v>
      </c>
      <c r="D4" s="36">
        <v>17</v>
      </c>
      <c r="E4" s="36">
        <v>18</v>
      </c>
    </row>
    <row r="5" spans="1:5" x14ac:dyDescent="0.25">
      <c r="A5" s="38">
        <v>25000</v>
      </c>
      <c r="B5" s="36">
        <v>20</v>
      </c>
      <c r="C5" s="36">
        <v>21</v>
      </c>
      <c r="D5" s="36">
        <v>22</v>
      </c>
      <c r="E5" s="36">
        <v>23</v>
      </c>
    </row>
    <row r="6" spans="1:5" x14ac:dyDescent="0.25">
      <c r="A6" s="38">
        <v>30000</v>
      </c>
      <c r="B6" s="36">
        <v>24</v>
      </c>
      <c r="C6" s="36">
        <v>25</v>
      </c>
      <c r="D6" s="36">
        <v>26</v>
      </c>
      <c r="E6" s="36">
        <v>27</v>
      </c>
    </row>
    <row r="7" spans="1:5" x14ac:dyDescent="0.25">
      <c r="A7" s="38">
        <v>35000</v>
      </c>
      <c r="B7" s="36">
        <v>28</v>
      </c>
      <c r="C7" s="36">
        <v>29</v>
      </c>
      <c r="D7" s="36">
        <v>30</v>
      </c>
      <c r="E7" s="36">
        <v>32</v>
      </c>
    </row>
    <row r="8" spans="1:5" x14ac:dyDescent="0.25">
      <c r="A8" s="38">
        <v>40000</v>
      </c>
      <c r="B8" s="36">
        <v>32</v>
      </c>
      <c r="C8" s="36">
        <v>33</v>
      </c>
      <c r="D8" s="36">
        <v>34</v>
      </c>
      <c r="E8" s="36">
        <v>36</v>
      </c>
    </row>
    <row r="9" spans="1:5" x14ac:dyDescent="0.25">
      <c r="A9" s="38">
        <v>45000</v>
      </c>
      <c r="B9" s="36">
        <v>36</v>
      </c>
      <c r="C9" s="36">
        <v>37</v>
      </c>
      <c r="D9" s="36">
        <v>39</v>
      </c>
      <c r="E9" s="36">
        <v>41</v>
      </c>
    </row>
    <row r="10" spans="1:5" x14ac:dyDescent="0.25">
      <c r="A10" s="38">
        <v>50000</v>
      </c>
      <c r="B10" s="36">
        <v>40</v>
      </c>
      <c r="C10" s="36">
        <v>41</v>
      </c>
      <c r="D10" s="36">
        <v>43</v>
      </c>
      <c r="E10" s="36">
        <v>45</v>
      </c>
    </row>
    <row r="11" spans="1:5" x14ac:dyDescent="0.25">
      <c r="A11" s="38">
        <v>55000</v>
      </c>
      <c r="B11" s="36">
        <v>43</v>
      </c>
      <c r="C11" s="36">
        <v>44</v>
      </c>
      <c r="D11" s="36">
        <v>46</v>
      </c>
      <c r="E11" s="36">
        <v>48</v>
      </c>
    </row>
    <row r="12" spans="1:5" x14ac:dyDescent="0.25">
      <c r="A12" s="38">
        <v>60000</v>
      </c>
      <c r="B12" s="36">
        <v>46</v>
      </c>
      <c r="C12" s="36">
        <v>47</v>
      </c>
      <c r="D12" s="36">
        <v>49</v>
      </c>
      <c r="E12" s="36">
        <v>51</v>
      </c>
    </row>
    <row r="13" spans="1:5" x14ac:dyDescent="0.25">
      <c r="A13" s="38">
        <v>65000</v>
      </c>
      <c r="B13" s="36">
        <v>48</v>
      </c>
      <c r="C13" s="36">
        <v>50</v>
      </c>
      <c r="D13" s="36">
        <v>52</v>
      </c>
      <c r="E13" s="36">
        <v>55</v>
      </c>
    </row>
    <row r="14" spans="1:5" x14ac:dyDescent="0.25">
      <c r="A14" s="38">
        <v>70000</v>
      </c>
      <c r="B14" s="36">
        <v>51</v>
      </c>
      <c r="C14" s="36">
        <v>52</v>
      </c>
      <c r="D14" s="36">
        <v>55</v>
      </c>
      <c r="E14" s="36">
        <v>58</v>
      </c>
    </row>
    <row r="15" spans="1:5" x14ac:dyDescent="0.25">
      <c r="A15" s="38">
        <v>75000</v>
      </c>
      <c r="B15" s="36">
        <v>54</v>
      </c>
      <c r="C15" s="36">
        <v>55</v>
      </c>
      <c r="D15" s="36">
        <v>58</v>
      </c>
      <c r="E15" s="36">
        <v>61</v>
      </c>
    </row>
    <row r="16" spans="1:5" x14ac:dyDescent="0.25">
      <c r="A16" s="38">
        <v>80000</v>
      </c>
      <c r="B16" s="36">
        <v>57</v>
      </c>
      <c r="C16" s="36">
        <v>58</v>
      </c>
      <c r="D16" s="36">
        <v>61</v>
      </c>
      <c r="E16" s="36">
        <v>64</v>
      </c>
    </row>
    <row r="17" spans="1:5" x14ac:dyDescent="0.25">
      <c r="A17" s="38">
        <v>85000</v>
      </c>
      <c r="B17" s="36">
        <v>60</v>
      </c>
      <c r="C17" s="36">
        <v>61</v>
      </c>
      <c r="D17" s="36">
        <v>64</v>
      </c>
      <c r="E17" s="36">
        <v>67</v>
      </c>
    </row>
    <row r="18" spans="1:5" x14ac:dyDescent="0.25">
      <c r="A18" s="38">
        <v>90000</v>
      </c>
      <c r="B18" s="36">
        <v>62</v>
      </c>
      <c r="C18" s="36">
        <v>64</v>
      </c>
      <c r="D18" s="36">
        <v>67</v>
      </c>
      <c r="E18" s="36">
        <v>70</v>
      </c>
    </row>
    <row r="19" spans="1:5" x14ac:dyDescent="0.25">
      <c r="A19" s="38">
        <v>95000</v>
      </c>
      <c r="B19" s="36">
        <v>65</v>
      </c>
      <c r="C19" s="36">
        <v>67</v>
      </c>
      <c r="D19" s="36">
        <v>70</v>
      </c>
      <c r="E19" s="36">
        <v>74</v>
      </c>
    </row>
    <row r="20" spans="1:5" x14ac:dyDescent="0.25">
      <c r="A20" s="38">
        <v>100000</v>
      </c>
      <c r="B20" s="36">
        <v>68</v>
      </c>
      <c r="C20" s="36">
        <v>70</v>
      </c>
      <c r="D20" s="36">
        <v>73</v>
      </c>
      <c r="E20" s="36">
        <v>77</v>
      </c>
    </row>
    <row r="21" spans="1:5" x14ac:dyDescent="0.25">
      <c r="A21" s="38">
        <v>105000</v>
      </c>
      <c r="B21" s="36">
        <v>68</v>
      </c>
      <c r="C21" s="36">
        <v>70</v>
      </c>
      <c r="D21" s="36">
        <v>73</v>
      </c>
      <c r="E21" s="36">
        <v>77</v>
      </c>
    </row>
    <row r="22" spans="1:5" x14ac:dyDescent="0.25">
      <c r="A22" s="38">
        <v>110000</v>
      </c>
      <c r="B22" s="36">
        <v>68</v>
      </c>
      <c r="C22" s="36">
        <v>70</v>
      </c>
      <c r="D22" s="36">
        <v>73</v>
      </c>
      <c r="E22" s="36">
        <v>77</v>
      </c>
    </row>
    <row r="23" spans="1:5" x14ac:dyDescent="0.25">
      <c r="A23" s="38">
        <v>115000</v>
      </c>
      <c r="B23" s="36">
        <v>68</v>
      </c>
      <c r="C23" s="36">
        <v>70</v>
      </c>
      <c r="D23" s="36">
        <v>73</v>
      </c>
      <c r="E23" s="36">
        <v>77</v>
      </c>
    </row>
    <row r="24" spans="1:5" x14ac:dyDescent="0.25">
      <c r="A24" s="36"/>
      <c r="B24" s="36"/>
      <c r="C24" s="36"/>
      <c r="D24" s="36"/>
      <c r="E24" s="36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G5" sqref="G5"/>
    </sheetView>
  </sheetViews>
  <sheetFormatPr defaultRowHeight="15.75" x14ac:dyDescent="0.25"/>
  <cols>
    <col min="1" max="1" width="9.140625" style="36"/>
    <col min="2" max="2" width="17.7109375" style="36" customWidth="1"/>
    <col min="3" max="3" width="19.28515625" style="36" customWidth="1"/>
    <col min="4" max="16384" width="9.140625" style="37"/>
  </cols>
  <sheetData>
    <row r="1" spans="1:3" x14ac:dyDescent="0.25">
      <c r="A1" s="36" t="s">
        <v>50</v>
      </c>
      <c r="B1" s="36" t="s">
        <v>59</v>
      </c>
      <c r="C1" s="36" t="s">
        <v>60</v>
      </c>
    </row>
    <row r="2" spans="1:3" x14ac:dyDescent="0.25">
      <c r="A2" s="36" t="s">
        <v>61</v>
      </c>
      <c r="B2" s="39">
        <v>24.3</v>
      </c>
      <c r="C2" s="39">
        <v>23.2</v>
      </c>
    </row>
    <row r="3" spans="1:3" x14ac:dyDescent="0.25">
      <c r="A3" s="36" t="s">
        <v>62</v>
      </c>
      <c r="B3" s="39">
        <v>20.399999999999999</v>
      </c>
      <c r="C3" s="39">
        <v>19.5</v>
      </c>
    </row>
    <row r="4" spans="1:3" x14ac:dyDescent="0.25">
      <c r="A4" s="36" t="s">
        <v>63</v>
      </c>
      <c r="B4" s="39">
        <v>25</v>
      </c>
      <c r="C4" s="39">
        <v>24.2</v>
      </c>
    </row>
    <row r="5" spans="1:3" x14ac:dyDescent="0.25">
      <c r="A5" s="36" t="s">
        <v>64</v>
      </c>
      <c r="B5" s="39">
        <v>21.5</v>
      </c>
      <c r="C5" s="39">
        <v>20.8</v>
      </c>
    </row>
    <row r="6" spans="1:3" x14ac:dyDescent="0.25">
      <c r="A6" s="36" t="s">
        <v>65</v>
      </c>
      <c r="B6" s="39">
        <v>21.6</v>
      </c>
      <c r="C6" s="39">
        <v>20.8</v>
      </c>
    </row>
    <row r="7" spans="1:3" x14ac:dyDescent="0.25">
      <c r="A7" s="36" t="s">
        <v>66</v>
      </c>
      <c r="B7" s="39">
        <v>22.4</v>
      </c>
      <c r="C7" s="39">
        <v>21.7</v>
      </c>
    </row>
    <row r="8" spans="1:3" x14ac:dyDescent="0.25">
      <c r="A8" s="36" t="s">
        <v>67</v>
      </c>
      <c r="B8" s="39">
        <v>20.399999999999999</v>
      </c>
      <c r="C8" s="39">
        <v>19.600000000000001</v>
      </c>
    </row>
    <row r="9" spans="1:3" x14ac:dyDescent="0.25">
      <c r="A9" s="36" t="s">
        <v>68</v>
      </c>
      <c r="B9" s="39">
        <v>22.1</v>
      </c>
      <c r="C9" s="39">
        <v>20.9</v>
      </c>
    </row>
    <row r="10" spans="1:3" x14ac:dyDescent="0.25">
      <c r="A10" s="36" t="s">
        <v>69</v>
      </c>
      <c r="B10" s="39">
        <v>21.1</v>
      </c>
      <c r="C10" s="39">
        <v>20.2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Matrix</vt:lpstr>
      <vt:lpstr>Half 1</vt:lpstr>
      <vt:lpstr>Benchmarks</vt:lpstr>
      <vt:lpstr>Jul</vt:lpstr>
      <vt:lpstr>Aug</vt:lpstr>
      <vt:lpstr>Sep</vt:lpstr>
      <vt:lpstr>Oct</vt:lpstr>
      <vt:lpstr>Nov</vt:lpstr>
      <vt:lpstr>Dec</vt:lpstr>
      <vt:lpstr>Half 2</vt:lpstr>
      <vt:lpstr>Jan</vt:lpstr>
      <vt:lpstr>Feb</vt:lpstr>
      <vt:lpstr>Mar</vt:lpstr>
      <vt:lpstr>Apr</vt:lpstr>
      <vt:lpstr>May</vt:lpstr>
      <vt:lpstr>Jun</vt:lpstr>
      <vt:lpstr>Crew Staffing Bands</vt:lpstr>
      <vt:lpstr>AHR Benchmarks</vt:lpstr>
      <vt:lpstr>Apr!Print_Area</vt:lpstr>
      <vt:lpstr>Aug!Print_Area</vt:lpstr>
      <vt:lpstr>Dec!Print_Area</vt:lpstr>
      <vt:lpstr>Feb!Print_Area</vt:lpstr>
      <vt:lpstr>'Half 1'!Print_Area</vt:lpstr>
      <vt:lpstr>'Half 2'!Print_Area</vt:lpstr>
      <vt:lpstr>Jan!Print_Area</vt:lpstr>
      <vt:lpstr>Jul!Print_Area</vt:lpstr>
      <vt:lpstr>Jun!Print_Area</vt:lpstr>
      <vt:lpstr>Mar!Print_Area</vt:lpstr>
      <vt:lpstr>Matrix!Print_Area</vt:lpstr>
      <vt:lpstr>May!Print_Area</vt:lpstr>
      <vt:lpstr>Nov!Print_Area</vt:lpstr>
      <vt:lpstr>Oct!Print_Area</vt:lpstr>
      <vt:lpstr>Sep!Print_Area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 Brighton</dc:creator>
  <cp:lastModifiedBy>HJ Brighton</cp:lastModifiedBy>
  <cp:lastPrinted>2021-06-07T23:35:47Z</cp:lastPrinted>
  <dcterms:created xsi:type="dcterms:W3CDTF">2020-12-14T19:22:05Z</dcterms:created>
  <dcterms:modified xsi:type="dcterms:W3CDTF">2022-08-10T06:38:24Z</dcterms:modified>
</cp:coreProperties>
</file>